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503" windowWidth="20715" windowHeight="13875"/>
  </bookViews>
  <sheets>
    <sheet name="School Monthly Tax Summary Repo" sheetId="2" r:id="rId1"/>
  </sheets>
  <externalReferences>
    <externalReference r:id="rId2"/>
  </externalReferences>
  <definedNames>
    <definedName name="_xlnm.Print_Titles">#REF!</definedName>
  </definedNames>
  <calcPr calcId="124519"/>
  <fileRecoveryPr repairLoad="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6" i="2"/>
  <c r="H13"/>
  <c r="E16"/>
  <c r="N15" l="1"/>
  <c r="O15" s="1"/>
  <c r="K13"/>
  <c r="I13"/>
  <c r="J16"/>
  <c r="K11"/>
  <c r="F11"/>
  <c r="F16" s="1"/>
  <c r="D11"/>
  <c r="K16" l="1"/>
  <c r="L16"/>
  <c r="I16"/>
  <c r="M16"/>
  <c r="N11"/>
  <c r="O11" s="1"/>
  <c r="N13"/>
  <c r="O13" s="1"/>
  <c r="G16"/>
  <c r="O16" l="1"/>
  <c r="N16"/>
  <c r="R16" s="1"/>
</calcChain>
</file>

<file path=xl/sharedStrings.xml><?xml version="1.0" encoding="utf-8"?>
<sst xmlns="http://schemas.openxmlformats.org/spreadsheetml/2006/main" count="47" uniqueCount="41">
  <si>
    <t>NAME OF SCHOOL</t>
  </si>
  <si>
    <t xml:space="preserve">SUMMARY OF TAXES WITHHELD </t>
  </si>
  <si>
    <t>Date</t>
  </si>
  <si>
    <t>PAYEE</t>
  </si>
  <si>
    <t>TIN</t>
  </si>
  <si>
    <t>Gross Amount</t>
  </si>
  <si>
    <t>1600 (BIR Form 2307)</t>
  </si>
  <si>
    <t>1601E (BIR Form 2307)</t>
  </si>
  <si>
    <t>TOTAL TAXES  WITHHELD</t>
  </si>
  <si>
    <t>Amount NET of Tax</t>
  </si>
  <si>
    <t>SCHOOLS</t>
  </si>
  <si>
    <t>VAT</t>
  </si>
  <si>
    <t>NON-VAT</t>
  </si>
  <si>
    <t>INDIVIDUAL</t>
  </si>
  <si>
    <t>CORPORATION</t>
  </si>
  <si>
    <t xml:space="preserve"> WV010 </t>
  </si>
  <si>
    <t>WV020</t>
  </si>
  <si>
    <t>WB080</t>
  </si>
  <si>
    <t>WI 157</t>
  </si>
  <si>
    <t>WI 640</t>
  </si>
  <si>
    <t>WC 157</t>
  </si>
  <si>
    <t>WC 640</t>
  </si>
  <si>
    <t>5% Goods</t>
  </si>
  <si>
    <t>5% Services</t>
  </si>
  <si>
    <t>1% Goods/Services</t>
  </si>
  <si>
    <t>Indahag ES</t>
  </si>
  <si>
    <t>CAGAYAN EDUCATIONAL SUPPLY</t>
  </si>
  <si>
    <t>VAT-GOODS-INDIVIDUAL</t>
  </si>
  <si>
    <t>NON-VAT-GOODS-INDIVIDUAL</t>
  </si>
  <si>
    <t>TOTAL</t>
  </si>
  <si>
    <t>Prepared by:</t>
  </si>
  <si>
    <t>Certified Correct:</t>
  </si>
  <si>
    <t>School Head</t>
  </si>
  <si>
    <t>NOTE:</t>
  </si>
  <si>
    <t>All transactions reflected on this Report were taken from the CiBR for the month (Due to BIR Account)</t>
  </si>
  <si>
    <t>BRIANNA EDUCATIONAL SUPPLY</t>
  </si>
  <si>
    <t>009-478-879-0987</t>
  </si>
  <si>
    <t>NON-VAT COMP UNTIL JUNE 2023</t>
  </si>
  <si>
    <r>
      <t>For the Month of February,</t>
    </r>
    <r>
      <rPr>
        <b/>
        <u/>
        <sz val="11"/>
        <color theme="1"/>
        <rFont val="Arial Narrow"/>
        <family val="2"/>
      </rPr>
      <t xml:space="preserve"> 2022</t>
    </r>
  </si>
  <si>
    <t>School Administrative Assitant III</t>
  </si>
  <si>
    <t>WB084</t>
  </si>
</sst>
</file>

<file path=xl/styles.xml><?xml version="1.0" encoding="utf-8"?>
<styleSheet xmlns="http://schemas.openxmlformats.org/spreadsheetml/2006/main">
  <numFmts count="3">
    <numFmt numFmtId="164" formatCode="_(* #,##0.00_);_(* \(#,##0.00\);_(* &quot;-&quot;??_);_(@_)"/>
    <numFmt numFmtId="165" formatCode="mm/dd/yy;@"/>
    <numFmt numFmtId="166" formatCode="m/d/yy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4"/>
      <color theme="1"/>
      <name val="Arial Narrow"/>
      <family val="2"/>
    </font>
    <font>
      <b/>
      <i/>
      <sz val="11"/>
      <color theme="1"/>
      <name val="Arial Narrow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90">
    <xf numFmtId="0" fontId="0" fillId="0" borderId="0" xfId="0"/>
    <xf numFmtId="0" fontId="2" fillId="0" borderId="0" xfId="0" applyFont="1" applyFill="1"/>
    <xf numFmtId="165" fontId="3" fillId="0" borderId="0" xfId="0" applyNumberFormat="1" applyFont="1" applyFill="1" applyAlignment="1">
      <alignment horizontal="right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164" fontId="3" fillId="0" borderId="0" xfId="1" applyFont="1" applyFill="1" applyAlignment="1">
      <alignment horizontal="center"/>
    </xf>
    <xf numFmtId="164" fontId="3" fillId="0" borderId="0" xfId="1" applyFont="1" applyFill="1"/>
    <xf numFmtId="0" fontId="3" fillId="0" borderId="0" xfId="0" applyFont="1" applyFill="1" applyAlignment="1">
      <alignment horizontal="left"/>
    </xf>
    <xf numFmtId="0" fontId="4" fillId="0" borderId="0" xfId="0" applyFont="1" applyFill="1"/>
    <xf numFmtId="0" fontId="4" fillId="2" borderId="1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/>
    </xf>
    <xf numFmtId="49" fontId="4" fillId="4" borderId="2" xfId="1" applyNumberFormat="1" applyFont="1" applyFill="1" applyBorder="1" applyAlignment="1">
      <alignment horizontal="center"/>
    </xf>
    <xf numFmtId="164" fontId="4" fillId="4" borderId="7" xfId="1" applyFont="1" applyFill="1" applyBorder="1" applyAlignment="1">
      <alignment horizontal="center"/>
    </xf>
    <xf numFmtId="164" fontId="4" fillId="5" borderId="7" xfId="1" applyFont="1" applyFill="1" applyBorder="1" applyAlignment="1">
      <alignment horizontal="center"/>
    </xf>
    <xf numFmtId="9" fontId="4" fillId="8" borderId="0" xfId="0" applyNumberFormat="1" applyFont="1" applyFill="1" applyAlignment="1">
      <alignment horizontal="center"/>
    </xf>
    <xf numFmtId="9" fontId="4" fillId="5" borderId="7" xfId="2" applyFont="1" applyFill="1" applyBorder="1" applyAlignment="1">
      <alignment horizontal="center"/>
    </xf>
    <xf numFmtId="0" fontId="4" fillId="0" borderId="11" xfId="0" applyFont="1" applyFill="1" applyBorder="1"/>
    <xf numFmtId="166" fontId="3" fillId="0" borderId="12" xfId="0" quotePrefix="1" applyNumberFormat="1" applyFont="1" applyFill="1" applyBorder="1" applyAlignment="1">
      <alignment horizontal="right"/>
    </xf>
    <xf numFmtId="0" fontId="3" fillId="0" borderId="12" xfId="0" applyNumberFormat="1" applyFont="1" applyBorder="1" applyAlignment="1">
      <alignment horizontal="left"/>
    </xf>
    <xf numFmtId="0" fontId="3" fillId="0" borderId="12" xfId="0" applyFont="1" applyFill="1" applyBorder="1" applyAlignment="1">
      <alignment horizontal="center"/>
    </xf>
    <xf numFmtId="164" fontId="3" fillId="0" borderId="12" xfId="1" applyFont="1" applyFill="1" applyBorder="1" applyAlignment="1">
      <alignment horizontal="center"/>
    </xf>
    <xf numFmtId="164" fontId="3" fillId="0" borderId="12" xfId="1" applyFont="1" applyFill="1" applyBorder="1"/>
    <xf numFmtId="164" fontId="3" fillId="0" borderId="13" xfId="1" applyFont="1" applyFill="1" applyBorder="1"/>
    <xf numFmtId="164" fontId="3" fillId="0" borderId="0" xfId="1" applyFont="1" applyFill="1" applyAlignment="1">
      <alignment horizontal="left"/>
    </xf>
    <xf numFmtId="0" fontId="3" fillId="0" borderId="11" xfId="0" applyFont="1" applyFill="1" applyBorder="1"/>
    <xf numFmtId="0" fontId="3" fillId="0" borderId="12" xfId="0" applyFont="1" applyBorder="1" applyAlignment="1">
      <alignment horizontal="left"/>
    </xf>
    <xf numFmtId="164" fontId="3" fillId="0" borderId="12" xfId="1" applyFont="1" applyFill="1" applyBorder="1" applyAlignment="1">
      <alignment horizontal="left"/>
    </xf>
    <xf numFmtId="0" fontId="3" fillId="0" borderId="14" xfId="0" applyFont="1" applyFill="1" applyBorder="1"/>
    <xf numFmtId="14" fontId="3" fillId="0" borderId="15" xfId="0" applyNumberFormat="1" applyFont="1" applyFill="1" applyBorder="1" applyAlignment="1" applyProtection="1">
      <alignment horizontal="right"/>
      <protection locked="0"/>
    </xf>
    <xf numFmtId="0" fontId="3" fillId="0" borderId="15" xfId="0" applyNumberFormat="1" applyFont="1" applyFill="1" applyBorder="1" applyAlignment="1">
      <alignment horizontal="left"/>
    </xf>
    <xf numFmtId="0" fontId="3" fillId="0" borderId="15" xfId="0" applyFont="1" applyFill="1" applyBorder="1" applyAlignment="1">
      <alignment horizontal="center"/>
    </xf>
    <xf numFmtId="164" fontId="3" fillId="0" borderId="16" xfId="1" applyFont="1" applyFill="1" applyBorder="1" applyAlignment="1">
      <alignment horizontal="center"/>
    </xf>
    <xf numFmtId="164" fontId="3" fillId="0" borderId="17" xfId="1" applyFont="1" applyFill="1" applyBorder="1" applyAlignment="1">
      <alignment horizontal="center"/>
    </xf>
    <xf numFmtId="164" fontId="3" fillId="0" borderId="18" xfId="1" applyFont="1" applyFill="1" applyBorder="1"/>
    <xf numFmtId="0" fontId="3" fillId="0" borderId="19" xfId="0" applyFont="1" applyFill="1" applyBorder="1"/>
    <xf numFmtId="165" fontId="4" fillId="0" borderId="20" xfId="0" applyNumberFormat="1" applyFont="1" applyFill="1" applyBorder="1" applyAlignment="1">
      <alignment horizontal="right"/>
    </xf>
    <xf numFmtId="0" fontId="3" fillId="0" borderId="20" xfId="0" applyFont="1" applyFill="1" applyBorder="1"/>
    <xf numFmtId="0" fontId="4" fillId="0" borderId="20" xfId="0" applyFont="1" applyFill="1" applyBorder="1" applyAlignment="1">
      <alignment horizontal="center"/>
    </xf>
    <xf numFmtId="164" fontId="4" fillId="0" borderId="21" xfId="1" applyFont="1" applyFill="1" applyBorder="1"/>
    <xf numFmtId="164" fontId="4" fillId="0" borderId="22" xfId="1" applyFont="1" applyFill="1" applyBorder="1"/>
    <xf numFmtId="164" fontId="4" fillId="0" borderId="23" xfId="0" applyNumberFormat="1" applyFont="1" applyFill="1" applyBorder="1"/>
    <xf numFmtId="164" fontId="3" fillId="0" borderId="0" xfId="0" applyNumberFormat="1" applyFont="1" applyFill="1" applyAlignment="1">
      <alignment horizontal="left"/>
    </xf>
    <xf numFmtId="0" fontId="3" fillId="0" borderId="6" xfId="0" applyFont="1" applyFill="1" applyBorder="1"/>
    <xf numFmtId="165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164" fontId="3" fillId="0" borderId="0" xfId="1" applyFont="1" applyFill="1" applyBorder="1" applyAlignment="1">
      <alignment horizontal="center"/>
    </xf>
    <xf numFmtId="164" fontId="3" fillId="0" borderId="0" xfId="1" applyFont="1" applyFill="1" applyBorder="1"/>
    <xf numFmtId="164" fontId="3" fillId="0" borderId="24" xfId="0" applyNumberFormat="1" applyFont="1" applyFill="1" applyBorder="1"/>
    <xf numFmtId="0" fontId="3" fillId="0" borderId="24" xfId="0" applyFont="1" applyFill="1" applyBorder="1"/>
    <xf numFmtId="0" fontId="3" fillId="0" borderId="25" xfId="0" applyFont="1" applyFill="1" applyBorder="1"/>
    <xf numFmtId="0" fontId="3" fillId="0" borderId="26" xfId="0" applyFont="1" applyFill="1" applyBorder="1"/>
    <xf numFmtId="165" fontId="4" fillId="0" borderId="27" xfId="0" applyNumberFormat="1" applyFont="1" applyFill="1" applyBorder="1" applyAlignment="1">
      <alignment horizontal="right"/>
    </xf>
    <xf numFmtId="0" fontId="3" fillId="0" borderId="27" xfId="0" applyFont="1" applyFill="1" applyBorder="1"/>
    <xf numFmtId="0" fontId="3" fillId="0" borderId="27" xfId="0" applyFont="1" applyFill="1" applyBorder="1" applyAlignment="1">
      <alignment horizontal="center"/>
    </xf>
    <xf numFmtId="164" fontId="3" fillId="0" borderId="27" xfId="1" applyFont="1" applyFill="1" applyBorder="1" applyAlignment="1">
      <alignment horizontal="center"/>
    </xf>
    <xf numFmtId="164" fontId="3" fillId="0" borderId="27" xfId="1" applyFont="1" applyFill="1" applyBorder="1"/>
    <xf numFmtId="0" fontId="3" fillId="0" borderId="28" xfId="0" applyFont="1" applyFill="1" applyBorder="1"/>
    <xf numFmtId="49" fontId="4" fillId="4" borderId="29" xfId="1" applyNumberFormat="1" applyFont="1" applyFill="1" applyBorder="1" applyAlignment="1">
      <alignment horizontal="center"/>
    </xf>
    <xf numFmtId="164" fontId="4" fillId="4" borderId="30" xfId="1" applyFont="1" applyFill="1" applyBorder="1" applyAlignment="1">
      <alignment horizontal="center"/>
    </xf>
    <xf numFmtId="9" fontId="4" fillId="4" borderId="31" xfId="2" applyFont="1" applyFill="1" applyBorder="1" applyAlignment="1">
      <alignment horizontal="center"/>
    </xf>
    <xf numFmtId="164" fontId="3" fillId="0" borderId="16" xfId="1" applyFont="1" applyFill="1" applyBorder="1"/>
    <xf numFmtId="164" fontId="4" fillId="0" borderId="21" xfId="0" applyNumberFormat="1" applyFont="1" applyFill="1" applyBorder="1"/>
    <xf numFmtId="164" fontId="3" fillId="0" borderId="0" xfId="0" applyNumberFormat="1" applyFont="1" applyFill="1" applyBorder="1"/>
    <xf numFmtId="0" fontId="4" fillId="7" borderId="2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164" fontId="6" fillId="5" borderId="8" xfId="1" applyFont="1" applyFill="1" applyBorder="1" applyAlignment="1">
      <alignment horizontal="center"/>
    </xf>
    <xf numFmtId="164" fontId="6" fillId="5" borderId="9" xfId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9" fontId="5" fillId="2" borderId="2" xfId="0" applyNumberFormat="1" applyFont="1" applyFill="1" applyBorder="1" applyAlignment="1">
      <alignment horizontal="center" vertical="center" wrapText="1"/>
    </xf>
    <xf numFmtId="9" fontId="5" fillId="2" borderId="7" xfId="0" applyNumberFormat="1" applyFont="1" applyFill="1" applyBorder="1" applyAlignment="1">
      <alignment horizontal="center" vertical="center" wrapText="1"/>
    </xf>
    <xf numFmtId="164" fontId="5" fillId="3" borderId="2" xfId="1" applyFont="1" applyFill="1" applyBorder="1" applyAlignment="1">
      <alignment horizontal="center" vertical="center" wrapText="1"/>
    </xf>
    <xf numFmtId="164" fontId="5" fillId="3" borderId="7" xfId="1" applyFont="1" applyFill="1" applyBorder="1" applyAlignment="1">
      <alignment horizontal="center" vertical="center" wrapText="1"/>
    </xf>
    <xf numFmtId="164" fontId="5" fillId="3" borderId="10" xfId="1" applyFont="1" applyFill="1" applyBorder="1" applyAlignment="1">
      <alignment horizontal="center" vertical="center" wrapText="1"/>
    </xf>
    <xf numFmtId="49" fontId="4" fillId="4" borderId="3" xfId="1" applyNumberFormat="1" applyFont="1" applyFill="1" applyBorder="1" applyAlignment="1">
      <alignment horizontal="center"/>
    </xf>
    <xf numFmtId="49" fontId="4" fillId="4" borderId="4" xfId="1" applyNumberFormat="1" applyFont="1" applyFill="1" applyBorder="1" applyAlignment="1">
      <alignment horizontal="center"/>
    </xf>
    <xf numFmtId="164" fontId="4" fillId="5" borderId="3" xfId="1" applyFont="1" applyFill="1" applyBorder="1" applyAlignment="1">
      <alignment horizontal="center"/>
    </xf>
    <xf numFmtId="164" fontId="4" fillId="5" borderId="4" xfId="1" applyFont="1" applyFill="1" applyBorder="1" applyAlignment="1">
      <alignment horizontal="center"/>
    </xf>
    <xf numFmtId="164" fontId="4" fillId="5" borderId="5" xfId="1" applyFont="1" applyFill="1" applyBorder="1" applyAlignment="1">
      <alignment horizontal="center"/>
    </xf>
    <xf numFmtId="164" fontId="3" fillId="0" borderId="15" xfId="1" applyFont="1" applyFill="1" applyBorder="1" applyAlignment="1">
      <alignment horizontal="center"/>
    </xf>
    <xf numFmtId="165" fontId="5" fillId="2" borderId="2" xfId="0" applyNumberFormat="1" applyFont="1" applyFill="1" applyBorder="1" applyAlignment="1">
      <alignment horizontal="center" vertical="center" wrapText="1"/>
    </xf>
    <xf numFmtId="165" fontId="5" fillId="2" borderId="7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164" fontId="3" fillId="0" borderId="25" xfId="1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OV2020\Novwtax_Cath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X SUMMARY FOR SCHOOLS"/>
      <sheetName val="November"/>
      <sheetName val="SUPPLIERS"/>
      <sheetName val="schools"/>
      <sheetName val="Sheet1"/>
    </sheetNames>
    <sheetDataSet>
      <sheetData sheetId="0" refreshError="1"/>
      <sheetData sheetId="1" refreshError="1"/>
      <sheetData sheetId="2" refreshError="1">
        <row r="1">
          <cell r="B1" t="str">
            <v>CAGAYAN DE ORO WATER DISTRICT</v>
          </cell>
          <cell r="C1" t="str">
            <v>000-550-995-0000</v>
          </cell>
        </row>
        <row r="2">
          <cell r="B2" t="str">
            <v>CAGAYAN EDUCATIONAL SUPPLY</v>
          </cell>
          <cell r="C2" t="str">
            <v>103-309-192-0001</v>
          </cell>
        </row>
        <row r="3">
          <cell r="B3" t="str">
            <v>CEPALCO</v>
          </cell>
          <cell r="C3" t="str">
            <v>000-291-936-0007</v>
          </cell>
        </row>
        <row r="4">
          <cell r="B4" t="str">
            <v>CEPALCO 1</v>
          </cell>
          <cell r="C4" t="str">
            <v>000-291-936-0001</v>
          </cell>
        </row>
        <row r="5">
          <cell r="B5" t="str">
            <v>COPYLANDIA OFFICE SYSTEMS CORP</v>
          </cell>
          <cell r="C5" t="str">
            <v>002-332-000-0026</v>
          </cell>
        </row>
        <row r="6">
          <cell r="B6" t="str">
            <v>DAGCUTA NEWSTAND</v>
          </cell>
          <cell r="C6" t="str">
            <v>906-450-304-0000</v>
          </cell>
        </row>
        <row r="7">
          <cell r="B7" t="str">
            <v>DLOCAL PRINTING SERVICES</v>
          </cell>
          <cell r="C7" t="str">
            <v>292-809-738-0000</v>
          </cell>
        </row>
        <row r="8">
          <cell r="B8" t="str">
            <v>GLOBE TELECOM INC 1</v>
          </cell>
          <cell r="C8" t="str">
            <v>000-768-480-0202</v>
          </cell>
        </row>
        <row r="9">
          <cell r="B9" t="str">
            <v>GLOBE TELECOM INC 2</v>
          </cell>
          <cell r="C9" t="str">
            <v>000-768-480-0081</v>
          </cell>
        </row>
        <row r="10">
          <cell r="B10" t="str">
            <v>GLOBE TELECOM INC 3</v>
          </cell>
          <cell r="C10" t="str">
            <v>000-768-480-0090</v>
          </cell>
        </row>
        <row r="11">
          <cell r="B11" t="str">
            <v>GOLDCREST MARKETING CORP</v>
          </cell>
          <cell r="C11" t="str">
            <v>000-291-943-0000</v>
          </cell>
        </row>
        <row r="12">
          <cell r="B12" t="str">
            <v>INNOVE COMMUNICATION INC 1</v>
          </cell>
          <cell r="C12" t="str">
            <v>000-360-916-0105</v>
          </cell>
        </row>
        <row r="13">
          <cell r="B13" t="str">
            <v>INNOVE COMMUNICATION INC 2</v>
          </cell>
          <cell r="C13" t="str">
            <v>000-360-916-0199</v>
          </cell>
        </row>
        <row r="14">
          <cell r="B14" t="str">
            <v>LARAWAN STUDIO OFFSET PRESS</v>
          </cell>
          <cell r="C14" t="str">
            <v>193-019-846-0001</v>
          </cell>
        </row>
        <row r="15">
          <cell r="B15" t="str">
            <v>MAGNAPHIL SYSTEM SALES</v>
          </cell>
          <cell r="C15" t="str">
            <v>114-724-167-0000</v>
          </cell>
        </row>
        <row r="16">
          <cell r="B16" t="str">
            <v>MERCURY DRUG</v>
          </cell>
          <cell r="C16" t="str">
            <v>000-388-474-0348</v>
          </cell>
        </row>
        <row r="17">
          <cell r="B17" t="str">
            <v>MILLGOS SECURITY AGENCY</v>
          </cell>
          <cell r="C17" t="str">
            <v>157-502-708-0000</v>
          </cell>
        </row>
        <row r="18">
          <cell r="B18" t="str">
            <v>MIME PRINT SERVICES</v>
          </cell>
          <cell r="C18" t="str">
            <v>311-064-743-0000</v>
          </cell>
        </row>
        <row r="19">
          <cell r="B19" t="str">
            <v>MORESCO</v>
          </cell>
          <cell r="C19" t="str">
            <v>000-558-337-0000</v>
          </cell>
        </row>
        <row r="20">
          <cell r="B20" t="str">
            <v>OCTAGON COMPUTER SUPERSTORE</v>
          </cell>
          <cell r="C20" t="str">
            <v>004-780-008-0016</v>
          </cell>
        </row>
        <row r="21">
          <cell r="B21" t="str">
            <v>ORORAMA SUPERCENTER</v>
          </cell>
          <cell r="C21" t="str">
            <v>004-991-105-0000</v>
          </cell>
        </row>
        <row r="22">
          <cell r="B22" t="str">
            <v>PLDT PHILCOM INC</v>
          </cell>
          <cell r="C22" t="str">
            <v>004-668-935-0012</v>
          </cell>
        </row>
        <row r="23">
          <cell r="B23" t="str">
            <v>POWER POINT COMPUTER SERVICES</v>
          </cell>
          <cell r="C23" t="str">
            <v>950-279-968-0000</v>
          </cell>
        </row>
        <row r="24">
          <cell r="B24" t="str">
            <v>RIKA DRUGSTORE AND DISTRIBUTION CORP</v>
          </cell>
          <cell r="C24" t="str">
            <v>464-495-972-0000</v>
          </cell>
        </row>
        <row r="25">
          <cell r="B25" t="str">
            <v>RUSTANS SUPERCENTERS INC</v>
          </cell>
          <cell r="C25" t="str">
            <v>201-160-401-0056</v>
          </cell>
        </row>
        <row r="26">
          <cell r="B26" t="str">
            <v>SMART COMMUNICATIONS INC</v>
          </cell>
          <cell r="C26" t="str">
            <v>001-901-673-0120</v>
          </cell>
        </row>
        <row r="27">
          <cell r="B27" t="str">
            <v>SIGNHEADS GRAPHICS ADVERTISING</v>
          </cell>
          <cell r="C27" t="str">
            <v>924-111-133-0000</v>
          </cell>
        </row>
        <row r="28">
          <cell r="B28" t="str">
            <v>IC MARKETING</v>
          </cell>
          <cell r="C28" t="str">
            <v>103-312-228-0000</v>
          </cell>
        </row>
        <row r="29">
          <cell r="B29" t="str">
            <v>JPR PHOTOCOPY</v>
          </cell>
          <cell r="C29" t="str">
            <v>165-339-530-0000</v>
          </cell>
        </row>
        <row r="30">
          <cell r="B30" t="str">
            <v>ARUELO'S ARTS &amp; PRINTS</v>
          </cell>
          <cell r="C30" t="str">
            <v>112-671-522-000</v>
          </cell>
        </row>
        <row r="31">
          <cell r="B31" t="str">
            <v>JKB REPUBLIC SECURITY</v>
          </cell>
          <cell r="C31" t="str">
            <v>275-829-892-000</v>
          </cell>
        </row>
        <row r="32">
          <cell r="B32" t="str">
            <v>REAL PRINTING &amp; MARKETING</v>
          </cell>
          <cell r="C32" t="str">
            <v>143-304-462-000</v>
          </cell>
        </row>
        <row r="33">
          <cell r="B33" t="str">
            <v>CHRISJOHN COPY CENTER</v>
          </cell>
          <cell r="C33" t="str">
            <v>906-450-977-000</v>
          </cell>
        </row>
        <row r="34">
          <cell r="B34" t="str">
            <v>ALFE COMMERCIAL</v>
          </cell>
          <cell r="C34" t="str">
            <v>403-123-853-000</v>
          </cell>
        </row>
        <row r="35">
          <cell r="B35" t="str">
            <v>GOLDCREST MARKETING CORPORATION</v>
          </cell>
          <cell r="C35" t="str">
            <v>000-291-943-000</v>
          </cell>
        </row>
        <row r="36">
          <cell r="B36" t="str">
            <v>PLDT, INC.</v>
          </cell>
          <cell r="C36" t="str">
            <v>000-488-793-00000</v>
          </cell>
        </row>
        <row r="37">
          <cell r="B37" t="str">
            <v xml:space="preserve">MANDAUE FOAM INDUSTRIES INC. </v>
          </cell>
          <cell r="C37" t="str">
            <v>000-069-873-013</v>
          </cell>
        </row>
        <row r="38">
          <cell r="B38" t="str">
            <v xml:space="preserve">JEJOR'S ENTERPRISES, INC. </v>
          </cell>
          <cell r="C38" t="str">
            <v>004-350-817-000</v>
          </cell>
        </row>
        <row r="39">
          <cell r="B39" t="str">
            <v xml:space="preserve">SILICON VALLEY COMPUTER GROUP PHILS., INC. </v>
          </cell>
          <cell r="C39" t="str">
            <v>000-360-191-023</v>
          </cell>
        </row>
        <row r="40">
          <cell r="B40" t="str">
            <v>IMPERIAL APPLIANCE PLAZA</v>
          </cell>
          <cell r="C40" t="str">
            <v>000-249-888-020</v>
          </cell>
        </row>
        <row r="41">
          <cell r="B41" t="str">
            <v>GAISANO INTERPACE COMPUTER SYSTEMS</v>
          </cell>
          <cell r="C41" t="str">
            <v>000-292-848-000</v>
          </cell>
        </row>
        <row r="42">
          <cell r="B42" t="str">
            <v>COLUMBIA COMPUTER CENTER, INC.</v>
          </cell>
          <cell r="C42" t="str">
            <v>003-168-873-000</v>
          </cell>
        </row>
        <row r="43">
          <cell r="B43" t="str">
            <v>FORESHIELD SECURITY SOLUTIONS INC.</v>
          </cell>
          <cell r="C43" t="str">
            <v>009-678-878-000</v>
          </cell>
        </row>
        <row r="44">
          <cell r="B44" t="str">
            <v>MINDANAO PHILIPPINES SUNDAY JOURNAL</v>
          </cell>
          <cell r="C44" t="str">
            <v>940-768-487-000</v>
          </cell>
        </row>
        <row r="45">
          <cell r="B45" t="str">
            <v>CROWN PAPER &amp; STATIONERIES SUPPLY</v>
          </cell>
          <cell r="C45" t="str">
            <v>184-723-355-002</v>
          </cell>
        </row>
        <row r="46">
          <cell r="B46" t="str">
            <v>GLORIETTA MARKETING CORPORATION</v>
          </cell>
          <cell r="C46" t="str">
            <v>438-613-867-000</v>
          </cell>
        </row>
        <row r="47">
          <cell r="B47" t="str">
            <v>PERSIMMON FASTFOOD &amp; BAKESHOPPE</v>
          </cell>
          <cell r="C47" t="str">
            <v>004-997-289-000</v>
          </cell>
        </row>
        <row r="48">
          <cell r="B48" t="str">
            <v>PLDT INC. (MAKATI CITY)</v>
          </cell>
          <cell r="C48" t="str">
            <v>006-909-073-307</v>
          </cell>
        </row>
        <row r="49">
          <cell r="B49" t="str">
            <v>INK NOW! CORPORATION</v>
          </cell>
          <cell r="C49" t="str">
            <v>296-111-555-003</v>
          </cell>
        </row>
        <row r="50">
          <cell r="B50" t="str">
            <v>MILLENIAL C PHOTOCOPYING SERVICES</v>
          </cell>
          <cell r="C50" t="str">
            <v>345-676-750-000</v>
          </cell>
        </row>
        <row r="51">
          <cell r="B51" t="str">
            <v>CEPALCO PUERTO</v>
          </cell>
          <cell r="C51" t="str">
            <v>000-291-936-001</v>
          </cell>
        </row>
        <row r="52">
          <cell r="B52" t="str">
            <v>JERASENES MEAT &amp; MILK</v>
          </cell>
          <cell r="C52" t="str">
            <v>458-532-788-000</v>
          </cell>
        </row>
        <row r="53">
          <cell r="B53" t="str">
            <v>UPSON INTERNATIONAL CORPORATION</v>
          </cell>
          <cell r="C53" t="str">
            <v>004-780-008-149</v>
          </cell>
        </row>
        <row r="54">
          <cell r="B54" t="str">
            <v>OCTAGON COMPUTER SUPERSTORE 2</v>
          </cell>
          <cell r="C54" t="str">
            <v>004-780-008-103</v>
          </cell>
        </row>
        <row r="55">
          <cell r="B55" t="str">
            <v>CEPALCO GALAXY GUSA</v>
          </cell>
          <cell r="C55" t="str">
            <v>000-291-936-008</v>
          </cell>
        </row>
        <row r="56">
          <cell r="B56" t="str">
            <v>DAVAO CITIHARDWARE, INC.</v>
          </cell>
          <cell r="C56" t="str">
            <v xml:space="preserve"> 005-172-745-002</v>
          </cell>
        </row>
        <row r="57">
          <cell r="B57" t="str">
            <v>E &amp; V GENERAL MERCHANDISE</v>
          </cell>
          <cell r="C57" t="str">
            <v>173-020-745-000</v>
          </cell>
        </row>
        <row r="58">
          <cell r="B58" t="str">
            <v>SANFORD MARKETING CORPORATION</v>
          </cell>
          <cell r="C58" t="str">
            <v>207-961-175-00043</v>
          </cell>
        </row>
        <row r="59">
          <cell r="B59" t="str">
            <v>BELAMIDE MUSIC SUPPLY</v>
          </cell>
          <cell r="C59" t="str">
            <v>233-922-790-000</v>
          </cell>
        </row>
        <row r="60">
          <cell r="B60" t="str">
            <v>ABESON VENTURES INC.</v>
          </cell>
          <cell r="C60" t="str">
            <v>004-149-434-141</v>
          </cell>
        </row>
        <row r="61">
          <cell r="B61" t="str">
            <v>POWER OUTBOX (E-LOADING STATION)</v>
          </cell>
          <cell r="C61" t="str">
            <v>909-799-943-000</v>
          </cell>
        </row>
        <row r="62">
          <cell r="B62" t="str">
            <v>NEW CAGAYAN CCH HARDWARE</v>
          </cell>
          <cell r="C62" t="str">
            <v>110-291-002-000</v>
          </cell>
        </row>
        <row r="63">
          <cell r="B63" t="str">
            <v>FOOTPRINTS AWARD CENTRUM</v>
          </cell>
          <cell r="C63" t="str">
            <v>114-744-506-000</v>
          </cell>
        </row>
        <row r="64">
          <cell r="B64" t="str">
            <v>FABLUES CATERING SERVICES</v>
          </cell>
          <cell r="C64" t="str">
            <v>906-451-040-000</v>
          </cell>
        </row>
        <row r="65">
          <cell r="B65" t="str">
            <v>J AND A MARKETING</v>
          </cell>
          <cell r="C65" t="str">
            <v>152-835-081-000</v>
          </cell>
        </row>
        <row r="66">
          <cell r="B66" t="str">
            <v>CAGAYAN BALITA CORPORATION</v>
          </cell>
          <cell r="C66" t="str">
            <v>008-702-355-000</v>
          </cell>
        </row>
        <row r="67">
          <cell r="B67" t="str">
            <v>MINDANAO GLASSWARE</v>
          </cell>
          <cell r="C67" t="str">
            <v>103-311-678-000</v>
          </cell>
        </row>
        <row r="68">
          <cell r="B68" t="str">
            <v>GOLDEN AWARDSCRAFT</v>
          </cell>
          <cell r="C68" t="str">
            <v>291-864-914-000</v>
          </cell>
        </row>
        <row r="69">
          <cell r="B69" t="str">
            <v>KMJ GENERAL MERCHANDISE AND PRINTING SERVICES</v>
          </cell>
          <cell r="C69" t="str">
            <v>252-823-287-000</v>
          </cell>
        </row>
        <row r="70">
          <cell r="B70" t="str">
            <v>ROBINSONS APPLIANCES CORPORATION</v>
          </cell>
          <cell r="C70" t="str">
            <v>207-540-565-008</v>
          </cell>
        </row>
        <row r="71">
          <cell r="B71" t="str">
            <v>SOLIDMARK INC.</v>
          </cell>
          <cell r="C71" t="str">
            <v>000-291-830-000</v>
          </cell>
        </row>
        <row r="72">
          <cell r="B72" t="str">
            <v>REJIBE ENTERPRISES</v>
          </cell>
          <cell r="C72" t="str">
            <v>923-622-006-000</v>
          </cell>
        </row>
        <row r="73">
          <cell r="B73" t="str">
            <v xml:space="preserve">Sterling Trade and Distribution Group, Inc. </v>
          </cell>
          <cell r="C73" t="str">
            <v>006-430-017-001</v>
          </cell>
        </row>
        <row r="74">
          <cell r="B74" t="str">
            <v>METRO PRINTS AND ADVERTISING</v>
          </cell>
          <cell r="C74" t="str">
            <v>325-869-309-000</v>
          </cell>
        </row>
        <row r="75">
          <cell r="B75" t="str">
            <v xml:space="preserve">JIMAR CONSTRUCTION SUPPLY CO. </v>
          </cell>
          <cell r="C75" t="str">
            <v>000-291-513-000</v>
          </cell>
        </row>
        <row r="76">
          <cell r="B76" t="str">
            <v>GHI TRADING</v>
          </cell>
          <cell r="C76" t="str">
            <v>004-353-680-000</v>
          </cell>
        </row>
        <row r="77">
          <cell r="B77" t="str">
            <v>DESMARK CORPORATION</v>
          </cell>
          <cell r="C77" t="str">
            <v>000-863-968-118</v>
          </cell>
        </row>
        <row r="78">
          <cell r="B78" t="str">
            <v>GOLDEN AWARDS CENTER</v>
          </cell>
          <cell r="C78" t="str">
            <v>490-619-671-000</v>
          </cell>
        </row>
        <row r="79">
          <cell r="B79" t="str">
            <v>INNOVE COMMUNICATION INC 3</v>
          </cell>
          <cell r="C79" t="str">
            <v>000-360-916-156</v>
          </cell>
        </row>
        <row r="80">
          <cell r="B80" t="str">
            <v>LUKE MEDICAL SUPPLIES</v>
          </cell>
          <cell r="C80" t="str">
            <v>148-725-344-000</v>
          </cell>
        </row>
        <row r="81">
          <cell r="B81" t="str">
            <v>ANTONIO TY HOUSE OF TEXTILES INC.</v>
          </cell>
          <cell r="C81" t="str">
            <v>008-122-769-000</v>
          </cell>
        </row>
        <row r="82">
          <cell r="B82" t="str">
            <v>JL NEON ADVERTISING AND ALLIED SERVICES</v>
          </cell>
          <cell r="C82" t="str">
            <v>428-462-408-000</v>
          </cell>
        </row>
        <row r="83">
          <cell r="B83" t="str">
            <v xml:space="preserve">CDO TH CAGAYAN INC. </v>
          </cell>
          <cell r="C83" t="str">
            <v>009-672-899-000</v>
          </cell>
        </row>
        <row r="84">
          <cell r="B84" t="str">
            <v>J AND L PRINTING AND DESIGN</v>
          </cell>
          <cell r="C84" t="str">
            <v>948-879-470-000</v>
          </cell>
        </row>
        <row r="85">
          <cell r="B85" t="str">
            <v>ORO EVERBEST INC.</v>
          </cell>
          <cell r="C85" t="str">
            <v>004-353-778-000</v>
          </cell>
        </row>
        <row r="86">
          <cell r="B86" t="str">
            <v>CIRCUITS AND BEADS</v>
          </cell>
          <cell r="C86" t="str">
            <v>165-162--763-000</v>
          </cell>
        </row>
        <row r="87">
          <cell r="B87" t="str">
            <v>NPL ENTERPRISES</v>
          </cell>
          <cell r="C87" t="str">
            <v>192-104-869-000</v>
          </cell>
        </row>
        <row r="88">
          <cell r="B88" t="str">
            <v xml:space="preserve"> NEW ACE DE ORO COMMERCIAL</v>
          </cell>
          <cell r="C88" t="str">
            <v>103-313-955-000</v>
          </cell>
        </row>
        <row r="89">
          <cell r="B89" t="str">
            <v>MED COOL REFRIGERATION AND AIRCONDITIONING SERVICE</v>
          </cell>
          <cell r="C89" t="str">
            <v>326-030-847-000</v>
          </cell>
        </row>
        <row r="90">
          <cell r="B90" t="str">
            <v xml:space="preserve">ISALAMA INDUSTRIES INC. </v>
          </cell>
          <cell r="C90" t="str">
            <v>000-291-928-000</v>
          </cell>
        </row>
        <row r="91">
          <cell r="B91" t="str">
            <v>CAGAYAN RSO HARDWARE INC.</v>
          </cell>
          <cell r="C91" t="str">
            <v>272-000-857-000</v>
          </cell>
        </row>
        <row r="92">
          <cell r="B92" t="str">
            <v>TECHNOMART</v>
          </cell>
          <cell r="C92" t="str">
            <v>196-353-469-011</v>
          </cell>
        </row>
        <row r="93">
          <cell r="B93" t="str">
            <v xml:space="preserve">PUREGOLD PRICE CLUB INC. </v>
          </cell>
          <cell r="C93" t="str">
            <v>201-277-095-199</v>
          </cell>
        </row>
        <row r="94">
          <cell r="B94" t="str">
            <v>GLOBE TELECOM, INC. (TAGUIG)</v>
          </cell>
          <cell r="C94" t="str">
            <v>000-768-480-0000</v>
          </cell>
        </row>
        <row r="95">
          <cell r="B95" t="str">
            <v>STRZ ELECTRONICS</v>
          </cell>
          <cell r="C95" t="str">
            <v>133-330-090-000</v>
          </cell>
        </row>
        <row r="96">
          <cell r="B96" t="str">
            <v>B DOUBLE A GENERAL MERCHANDISE</v>
          </cell>
          <cell r="C96" t="str">
            <v>339-840-136-000</v>
          </cell>
        </row>
        <row r="97">
          <cell r="B97" t="str">
            <v xml:space="preserve">MACKUN MARKETING CO., INC. </v>
          </cell>
          <cell r="C97" t="str">
            <v>000-291-731-000</v>
          </cell>
        </row>
        <row r="98">
          <cell r="B98" t="str">
            <v>BS ELECTRICAL</v>
          </cell>
          <cell r="C98" t="str">
            <v>193-019-102-000</v>
          </cell>
        </row>
        <row r="99">
          <cell r="B99" t="str">
            <v>MARBEL COMPUTER CENTER</v>
          </cell>
          <cell r="C99" t="str">
            <v>197-952-201-003</v>
          </cell>
        </row>
        <row r="100">
          <cell r="B100" t="str">
            <v>Intelisoft Microcomputer Systems</v>
          </cell>
          <cell r="C100" t="str">
            <v>106-128-099-00</v>
          </cell>
        </row>
        <row r="101">
          <cell r="B101" t="str">
            <v xml:space="preserve">HOME PLUS TRADING DEPOT INC. </v>
          </cell>
          <cell r="C101" t="str">
            <v>484-697-984-002</v>
          </cell>
        </row>
        <row r="102">
          <cell r="B102" t="str">
            <v>JBS PRINTING PRESS &amp; GENERAL MERCHANDISE</v>
          </cell>
          <cell r="C102" t="str">
            <v>416-816-443-000</v>
          </cell>
        </row>
        <row r="103">
          <cell r="B103" t="str">
            <v>JUAN SIA ENTERPRISES</v>
          </cell>
          <cell r="C103" t="str">
            <v>103-309-536-000</v>
          </cell>
        </row>
        <row r="104">
          <cell r="B104" t="str">
            <v>DENKI ELECTRIC CORPORATION</v>
          </cell>
          <cell r="C104" t="str">
            <v>001-858-629-000</v>
          </cell>
        </row>
        <row r="105">
          <cell r="B105" t="str">
            <v>INNOVE COMMUNICATION INC 4</v>
          </cell>
          <cell r="C105" t="str">
            <v>000-360-916-000</v>
          </cell>
        </row>
        <row r="106">
          <cell r="B106" t="str">
            <v>ROLOR BLUESKY TRUCKING CORP</v>
          </cell>
          <cell r="C106" t="str">
            <v>458-880-458-001</v>
          </cell>
        </row>
        <row r="107">
          <cell r="B107" t="str">
            <v>EASTERN TERRA ENTERPRISES</v>
          </cell>
          <cell r="C107" t="str">
            <v>150-752-474-002</v>
          </cell>
        </row>
        <row r="108">
          <cell r="B108" t="str">
            <v>ROSE PHARMACY INC.-BULUA</v>
          </cell>
          <cell r="C108" t="str">
            <v>000-310-457-163</v>
          </cell>
        </row>
        <row r="109">
          <cell r="B109" t="str">
            <v>PHARM GEN VENTURES CORPORATION</v>
          </cell>
          <cell r="C109" t="str">
            <v>007-858-133-018</v>
          </cell>
        </row>
        <row r="110">
          <cell r="B110" t="str">
            <v xml:space="preserve">ROBINSON'S HANDYMAN, INC. </v>
          </cell>
          <cell r="C110" t="str">
            <v>003-888-229-014</v>
          </cell>
        </row>
        <row r="111">
          <cell r="B111" t="str">
            <v>DML TRADING</v>
          </cell>
          <cell r="C111" t="str">
            <v>294-221-090-001</v>
          </cell>
        </row>
        <row r="112">
          <cell r="B112" t="str">
            <v>DOUBLE A VENTURES</v>
          </cell>
          <cell r="C112" t="str">
            <v>157-916-289-000</v>
          </cell>
        </row>
        <row r="113">
          <cell r="B113" t="str">
            <v xml:space="preserve">D2 PRINTS AND CREATIVES CORP. </v>
          </cell>
          <cell r="C113" t="str">
            <v>009-808-515-000</v>
          </cell>
        </row>
        <row r="114">
          <cell r="B114" t="str">
            <v>SBR MARKETING</v>
          </cell>
          <cell r="C114" t="str">
            <v>736-274-899-000</v>
          </cell>
        </row>
        <row r="115">
          <cell r="B115" t="str">
            <v xml:space="preserve">CAGAYAN PIONEER HARDWARE INC. </v>
          </cell>
          <cell r="C115" t="str">
            <v>005-890-542-000</v>
          </cell>
        </row>
        <row r="116">
          <cell r="B116" t="str">
            <v>ECE MARKETING</v>
          </cell>
          <cell r="C116" t="str">
            <v>155-451-157-001</v>
          </cell>
        </row>
        <row r="117">
          <cell r="B117" t="str">
            <v>MIO ENTERPRISES</v>
          </cell>
          <cell r="C117" t="str">
            <v>295-330-719-000</v>
          </cell>
        </row>
        <row r="118">
          <cell r="B118" t="str">
            <v>MJN ENTERPRISES</v>
          </cell>
          <cell r="C118" t="str">
            <v>928-439-625-000</v>
          </cell>
        </row>
        <row r="119">
          <cell r="B119" t="str">
            <v>SMART COMMUNICATIONS INC-KETKAI</v>
          </cell>
          <cell r="C119" t="str">
            <v>001-901-673-090</v>
          </cell>
        </row>
        <row r="120">
          <cell r="B120" t="str">
            <v>EJTECH FINE INK AND PRINTER SOLUTION</v>
          </cell>
          <cell r="C120" t="str">
            <v>439-365-010-000</v>
          </cell>
        </row>
        <row r="121">
          <cell r="B121" t="str">
            <v>MOTOR PLANET MARKETING</v>
          </cell>
          <cell r="C121" t="str">
            <v>261-804-570-000</v>
          </cell>
        </row>
        <row r="122">
          <cell r="B122" t="str">
            <v>RYAN CABS SERVICES</v>
          </cell>
          <cell r="C122" t="str">
            <v>274-760-175-000</v>
          </cell>
        </row>
        <row r="123">
          <cell r="B123" t="str">
            <v>SMART COMMUNICATIONS, INC.</v>
          </cell>
          <cell r="C123" t="str">
            <v>001-901-673</v>
          </cell>
        </row>
        <row r="124">
          <cell r="B124" t="str">
            <v>NVA PRINTING SERVICES</v>
          </cell>
          <cell r="C124" t="str">
            <v>198-069-832-000</v>
          </cell>
        </row>
        <row r="125">
          <cell r="B125" t="str">
            <v>ALFONSO SIA MARKETING</v>
          </cell>
          <cell r="C125" t="str">
            <v>117-185-509-005</v>
          </cell>
        </row>
        <row r="126">
          <cell r="B126" t="str">
            <v>MERCURY DRUG CORPORATION-CARMEN</v>
          </cell>
          <cell r="C126" t="str">
            <v>000-388-474-00387</v>
          </cell>
        </row>
        <row r="127">
          <cell r="B127" t="str">
            <v>DATAWORLD COMPUTER CENTER</v>
          </cell>
          <cell r="C127" t="str">
            <v>103-309-690-000</v>
          </cell>
        </row>
        <row r="128">
          <cell r="B128" t="str">
            <v xml:space="preserve">STARBRIGHT OFFICE DEPOT. INC. </v>
          </cell>
          <cell r="C128" t="str">
            <v>005-978-639-003</v>
          </cell>
        </row>
        <row r="129">
          <cell r="B129" t="str">
            <v>PACIFICA AGRIVET SUPPLIES</v>
          </cell>
          <cell r="C129" t="str">
            <v>000-258-476-00022</v>
          </cell>
        </row>
        <row r="130">
          <cell r="B130" t="str">
            <v>PACIFICA AGRIVET SUPPLIES-OSMENA</v>
          </cell>
          <cell r="C130" t="str">
            <v>000-258-476-00103</v>
          </cell>
        </row>
        <row r="131">
          <cell r="B131" t="str">
            <v>THINKING TOOLS, INC.</v>
          </cell>
          <cell r="C131" t="str">
            <v>000-312-081-017</v>
          </cell>
        </row>
        <row r="132">
          <cell r="B132" t="str">
            <v>Inke-GSE Corporation</v>
          </cell>
          <cell r="C132" t="str">
            <v>006-437-088-000</v>
          </cell>
        </row>
        <row r="133">
          <cell r="B133" t="str">
            <v>Oro Multiline Marketing</v>
          </cell>
          <cell r="C133" t="str">
            <v>413-890-243-000</v>
          </cell>
        </row>
        <row r="134">
          <cell r="B134" t="str">
            <v>ABACUS BOOK AND CARD CORPORATION</v>
          </cell>
          <cell r="C134" t="str">
            <v>000-299-299-00126</v>
          </cell>
        </row>
        <row r="135">
          <cell r="B135" t="str">
            <v>RB MARKETING</v>
          </cell>
          <cell r="C135" t="str">
            <v>134-633-267-000</v>
          </cell>
        </row>
        <row r="136">
          <cell r="B136" t="str">
            <v>MERCURY DRUG-PUERTO</v>
          </cell>
          <cell r="C136" t="str">
            <v>000-388-474-00358</v>
          </cell>
        </row>
        <row r="137">
          <cell r="B137" t="str">
            <v>MEDICAL CENTER TRADING CORPORATION</v>
          </cell>
          <cell r="C137" t="str">
            <v>000-280-681-009</v>
          </cell>
        </row>
        <row r="138">
          <cell r="B138" t="str">
            <v>BIOMEDICAL TRADE MERCHANDISE AND SERVICES</v>
          </cell>
          <cell r="C138" t="str">
            <v>253-002-594-000</v>
          </cell>
        </row>
        <row r="139">
          <cell r="B139" t="str">
            <v>APROS GENERAL MERCHANDISE</v>
          </cell>
          <cell r="C139" t="str">
            <v>451-070-130-000</v>
          </cell>
        </row>
        <row r="140">
          <cell r="B140" t="str">
            <v>PHILCOPY CORPORATION</v>
          </cell>
          <cell r="C140" t="str">
            <v>000-169-318-00020</v>
          </cell>
        </row>
        <row r="141">
          <cell r="B141" t="str">
            <v xml:space="preserve">CHILDHOOD LEARNERS &amp; READERS PUBLICATIONS, INC. </v>
          </cell>
          <cell r="C141" t="str">
            <v>236-339-698-000</v>
          </cell>
        </row>
        <row r="142">
          <cell r="B142" t="str">
            <v>TECHNOMART-CENTRIO</v>
          </cell>
          <cell r="C142" t="str">
            <v>196-353-469-017</v>
          </cell>
        </row>
        <row r="143">
          <cell r="B143" t="str">
            <v xml:space="preserve">MC PAPER SMART MKTG INC. </v>
          </cell>
          <cell r="C143" t="str">
            <v>482-263-867-001</v>
          </cell>
        </row>
        <row r="144">
          <cell r="B144" t="str">
            <v xml:space="preserve">INTERNATIONAL PHARMACEUTICALS, INC. </v>
          </cell>
          <cell r="C144" t="str">
            <v>000-309-701-00007</v>
          </cell>
        </row>
        <row r="145">
          <cell r="B145" t="str">
            <v>CAGAYAN REGENT FURNISHINGS</v>
          </cell>
          <cell r="C145" t="str">
            <v>146-564-376-000</v>
          </cell>
        </row>
        <row r="146">
          <cell r="B146" t="str">
            <v xml:space="preserve">CARMEN LUMBER TRADING AND CONSTRUCTION SUPPLY CORP. </v>
          </cell>
          <cell r="C146" t="str">
            <v>479-931-676-000</v>
          </cell>
        </row>
        <row r="163">
          <cell r="B163">
            <v>0</v>
          </cell>
        </row>
        <row r="166">
          <cell r="C166">
            <v>0</v>
          </cell>
        </row>
        <row r="190">
          <cell r="C190">
            <v>0</v>
          </cell>
        </row>
        <row r="191">
          <cell r="B191">
            <v>0</v>
          </cell>
        </row>
        <row r="192">
          <cell r="B192">
            <v>0</v>
          </cell>
        </row>
        <row r="195">
          <cell r="C195">
            <v>0</v>
          </cell>
        </row>
        <row r="196">
          <cell r="C196">
            <v>0</v>
          </cell>
        </row>
        <row r="197">
          <cell r="C197">
            <v>0</v>
          </cell>
        </row>
        <row r="198">
          <cell r="C198">
            <v>0</v>
          </cell>
        </row>
        <row r="205">
          <cell r="C205">
            <v>0</v>
          </cell>
        </row>
        <row r="208">
          <cell r="B208">
            <v>0</v>
          </cell>
        </row>
        <row r="209">
          <cell r="B209">
            <v>0</v>
          </cell>
        </row>
        <row r="211">
          <cell r="C211">
            <v>0</v>
          </cell>
        </row>
        <row r="216">
          <cell r="C216">
            <v>0</v>
          </cell>
        </row>
        <row r="217">
          <cell r="C217">
            <v>0</v>
          </cell>
        </row>
        <row r="218">
          <cell r="C218">
            <v>0</v>
          </cell>
        </row>
        <row r="219">
          <cell r="C219">
            <v>0</v>
          </cell>
        </row>
        <row r="221">
          <cell r="B221">
            <v>0</v>
          </cell>
        </row>
        <row r="227">
          <cell r="C227">
            <v>0</v>
          </cell>
        </row>
        <row r="228">
          <cell r="B228">
            <v>0</v>
          </cell>
        </row>
        <row r="230">
          <cell r="C230">
            <v>0</v>
          </cell>
        </row>
        <row r="231">
          <cell r="C231">
            <v>0</v>
          </cell>
        </row>
        <row r="232">
          <cell r="C232">
            <v>0</v>
          </cell>
        </row>
        <row r="233">
          <cell r="C233">
            <v>0</v>
          </cell>
        </row>
        <row r="236">
          <cell r="B236">
            <v>0</v>
          </cell>
          <cell r="C236">
            <v>0</v>
          </cell>
        </row>
        <row r="241">
          <cell r="C241">
            <v>0</v>
          </cell>
        </row>
        <row r="247">
          <cell r="C247">
            <v>0</v>
          </cell>
        </row>
        <row r="248">
          <cell r="C248">
            <v>0</v>
          </cell>
        </row>
        <row r="249">
          <cell r="B249">
            <v>0</v>
          </cell>
          <cell r="C249">
            <v>0</v>
          </cell>
        </row>
        <row r="258">
          <cell r="C258">
            <v>0</v>
          </cell>
        </row>
        <row r="264">
          <cell r="C264">
            <v>0</v>
          </cell>
        </row>
        <row r="267">
          <cell r="C267">
            <v>0</v>
          </cell>
        </row>
        <row r="268">
          <cell r="C268">
            <v>0</v>
          </cell>
        </row>
        <row r="269">
          <cell r="C269">
            <v>0</v>
          </cell>
        </row>
        <row r="270">
          <cell r="C270">
            <v>0</v>
          </cell>
        </row>
        <row r="273">
          <cell r="C273">
            <v>0</v>
          </cell>
        </row>
        <row r="274">
          <cell r="C274">
            <v>0</v>
          </cell>
        </row>
        <row r="283">
          <cell r="C283">
            <v>0</v>
          </cell>
        </row>
        <row r="290">
          <cell r="C290">
            <v>0</v>
          </cell>
        </row>
        <row r="292">
          <cell r="C292">
            <v>0</v>
          </cell>
        </row>
        <row r="294">
          <cell r="C294">
            <v>0</v>
          </cell>
        </row>
        <row r="296">
          <cell r="B296">
            <v>0</v>
          </cell>
        </row>
        <row r="298">
          <cell r="B298">
            <v>0</v>
          </cell>
        </row>
        <row r="305">
          <cell r="B305">
            <v>0</v>
          </cell>
        </row>
        <row r="306">
          <cell r="B306">
            <v>0</v>
          </cell>
        </row>
        <row r="310">
          <cell r="B310">
            <v>0</v>
          </cell>
        </row>
        <row r="322">
          <cell r="C322">
            <v>0</v>
          </cell>
        </row>
        <row r="324">
          <cell r="C324">
            <v>0</v>
          </cell>
        </row>
        <row r="325">
          <cell r="B325">
            <v>0</v>
          </cell>
        </row>
        <row r="328">
          <cell r="C328">
            <v>0</v>
          </cell>
        </row>
        <row r="331">
          <cell r="C331">
            <v>0</v>
          </cell>
        </row>
        <row r="332">
          <cell r="C332">
            <v>0</v>
          </cell>
        </row>
        <row r="333">
          <cell r="C333">
            <v>0</v>
          </cell>
        </row>
        <row r="338">
          <cell r="B338">
            <v>0</v>
          </cell>
          <cell r="C338">
            <v>0</v>
          </cell>
        </row>
        <row r="339">
          <cell r="C339">
            <v>0</v>
          </cell>
        </row>
        <row r="352">
          <cell r="C352">
            <v>0</v>
          </cell>
        </row>
        <row r="357">
          <cell r="C357">
            <v>0</v>
          </cell>
        </row>
        <row r="358">
          <cell r="C358">
            <v>0</v>
          </cell>
        </row>
        <row r="360">
          <cell r="C360">
            <v>0</v>
          </cell>
        </row>
        <row r="361">
          <cell r="C361">
            <v>0</v>
          </cell>
        </row>
        <row r="362">
          <cell r="C362">
            <v>0</v>
          </cell>
        </row>
        <row r="364">
          <cell r="C364">
            <v>0</v>
          </cell>
        </row>
        <row r="371">
          <cell r="C371">
            <v>0</v>
          </cell>
        </row>
        <row r="372">
          <cell r="C372">
            <v>0</v>
          </cell>
        </row>
        <row r="373">
          <cell r="C373">
            <v>0</v>
          </cell>
        </row>
        <row r="383">
          <cell r="C383">
            <v>0</v>
          </cell>
        </row>
        <row r="385">
          <cell r="C385">
            <v>0</v>
          </cell>
        </row>
        <row r="386">
          <cell r="C386">
            <v>0</v>
          </cell>
        </row>
        <row r="388">
          <cell r="C388">
            <v>0</v>
          </cell>
        </row>
        <row r="389">
          <cell r="C389">
            <v>0</v>
          </cell>
        </row>
        <row r="392">
          <cell r="C392">
            <v>0</v>
          </cell>
        </row>
        <row r="393">
          <cell r="B393">
            <v>0</v>
          </cell>
        </row>
        <row r="397">
          <cell r="B397">
            <v>0</v>
          </cell>
        </row>
        <row r="399">
          <cell r="C399">
            <v>0</v>
          </cell>
        </row>
        <row r="403">
          <cell r="C403">
            <v>0</v>
          </cell>
        </row>
        <row r="404">
          <cell r="C404">
            <v>0</v>
          </cell>
        </row>
        <row r="408">
          <cell r="C408">
            <v>0</v>
          </cell>
        </row>
        <row r="409">
          <cell r="C409">
            <v>0</v>
          </cell>
        </row>
        <row r="410">
          <cell r="C410">
            <v>0</v>
          </cell>
        </row>
        <row r="411">
          <cell r="C411">
            <v>0</v>
          </cell>
        </row>
        <row r="412">
          <cell r="C412">
            <v>0</v>
          </cell>
        </row>
        <row r="414">
          <cell r="C414">
            <v>0</v>
          </cell>
        </row>
        <row r="418">
          <cell r="C418">
            <v>0</v>
          </cell>
        </row>
        <row r="419">
          <cell r="C419">
            <v>0</v>
          </cell>
        </row>
        <row r="422">
          <cell r="C422">
            <v>0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>
      <selection activeCell="C21" sqref="C21"/>
    </sheetView>
  </sheetViews>
  <sheetFormatPr defaultColWidth="9.1328125" defaultRowHeight="13.5"/>
  <cols>
    <col min="1" max="1" width="6.46484375" style="3" customWidth="1"/>
    <col min="2" max="2" width="12.6640625" style="2" customWidth="1"/>
    <col min="3" max="3" width="35.46484375" style="3" customWidth="1"/>
    <col min="4" max="4" width="20" style="4" customWidth="1"/>
    <col min="5" max="5" width="17.796875" style="5" customWidth="1"/>
    <col min="6" max="6" width="13.796875" style="6" customWidth="1"/>
    <col min="7" max="7" width="12.6640625" style="6" bestFit="1" customWidth="1"/>
    <col min="8" max="9" width="16" style="6" customWidth="1"/>
    <col min="10" max="10" width="13.33203125" style="6" bestFit="1" customWidth="1"/>
    <col min="11" max="11" width="13.1328125" style="6" customWidth="1"/>
    <col min="12" max="12" width="13.33203125" style="6" bestFit="1" customWidth="1"/>
    <col min="13" max="13" width="13.1328125" style="6" customWidth="1"/>
    <col min="14" max="15" width="14" style="3" customWidth="1"/>
    <col min="16" max="16" width="28.46484375" style="3" customWidth="1"/>
    <col min="17" max="17" width="9.1328125" style="3"/>
    <col min="18" max="18" width="19.46484375" style="7" hidden="1" customWidth="1"/>
    <col min="19" max="16384" width="9.1328125" style="3"/>
  </cols>
  <sheetData>
    <row r="1" spans="1:18">
      <c r="A1" s="1" t="s">
        <v>0</v>
      </c>
    </row>
    <row r="3" spans="1:18">
      <c r="A3" s="8" t="s">
        <v>1</v>
      </c>
    </row>
    <row r="4" spans="1:18">
      <c r="A4" s="8" t="s">
        <v>38</v>
      </c>
    </row>
    <row r="5" spans="1:18" ht="13.9" thickBot="1"/>
    <row r="6" spans="1:18" s="10" customFormat="1" ht="15" customHeight="1" thickBot="1">
      <c r="A6" s="9"/>
      <c r="B6" s="84" t="s">
        <v>2</v>
      </c>
      <c r="C6" s="71" t="s">
        <v>3</v>
      </c>
      <c r="D6" s="73" t="s">
        <v>4</v>
      </c>
      <c r="E6" s="75" t="s">
        <v>5</v>
      </c>
      <c r="F6" s="78" t="s">
        <v>6</v>
      </c>
      <c r="G6" s="79"/>
      <c r="H6" s="79"/>
      <c r="I6" s="79"/>
      <c r="J6" s="80" t="s">
        <v>7</v>
      </c>
      <c r="K6" s="81"/>
      <c r="L6" s="81"/>
      <c r="M6" s="82"/>
      <c r="N6" s="86" t="s">
        <v>8</v>
      </c>
      <c r="O6" s="66" t="s">
        <v>9</v>
      </c>
      <c r="R6" s="11" t="s">
        <v>10</v>
      </c>
    </row>
    <row r="7" spans="1:18" s="10" customFormat="1" ht="15" customHeight="1">
      <c r="A7" s="12"/>
      <c r="B7" s="85"/>
      <c r="C7" s="72"/>
      <c r="D7" s="74"/>
      <c r="E7" s="76"/>
      <c r="F7" s="13" t="s">
        <v>11</v>
      </c>
      <c r="G7" s="13" t="s">
        <v>11</v>
      </c>
      <c r="H7" s="60" t="s">
        <v>12</v>
      </c>
      <c r="I7" s="60" t="s">
        <v>12</v>
      </c>
      <c r="J7" s="69" t="s">
        <v>13</v>
      </c>
      <c r="K7" s="70"/>
      <c r="L7" s="69" t="s">
        <v>14</v>
      </c>
      <c r="M7" s="70"/>
      <c r="N7" s="87"/>
      <c r="O7" s="67"/>
      <c r="R7" s="11"/>
    </row>
    <row r="8" spans="1:18" s="10" customFormat="1" ht="14" customHeight="1">
      <c r="A8" s="12"/>
      <c r="B8" s="85"/>
      <c r="C8" s="72"/>
      <c r="D8" s="74"/>
      <c r="E8" s="76"/>
      <c r="F8" s="14" t="s">
        <v>15</v>
      </c>
      <c r="G8" s="14" t="s">
        <v>16</v>
      </c>
      <c r="H8" s="61" t="s">
        <v>17</v>
      </c>
      <c r="I8" s="61" t="s">
        <v>40</v>
      </c>
      <c r="J8" s="15" t="s">
        <v>18</v>
      </c>
      <c r="K8" s="15" t="s">
        <v>19</v>
      </c>
      <c r="L8" s="15" t="s">
        <v>20</v>
      </c>
      <c r="M8" s="15" t="s">
        <v>21</v>
      </c>
      <c r="N8" s="87"/>
      <c r="O8" s="67"/>
      <c r="R8" s="16"/>
    </row>
    <row r="9" spans="1:18" s="10" customFormat="1" ht="15" customHeight="1">
      <c r="A9" s="12"/>
      <c r="B9" s="85"/>
      <c r="C9" s="72"/>
      <c r="D9" s="74"/>
      <c r="E9" s="77"/>
      <c r="F9" s="14" t="s">
        <v>22</v>
      </c>
      <c r="G9" s="14" t="s">
        <v>23</v>
      </c>
      <c r="H9" s="62" t="s">
        <v>24</v>
      </c>
      <c r="I9" s="62" t="s">
        <v>24</v>
      </c>
      <c r="J9" s="17">
        <v>0.02</v>
      </c>
      <c r="K9" s="17">
        <v>0.01</v>
      </c>
      <c r="L9" s="17">
        <v>0.02</v>
      </c>
      <c r="M9" s="17">
        <v>0.01</v>
      </c>
      <c r="N9" s="88"/>
      <c r="O9" s="68"/>
      <c r="R9" s="16"/>
    </row>
    <row r="10" spans="1:18">
      <c r="A10" s="18" t="s">
        <v>11</v>
      </c>
      <c r="B10" s="19"/>
      <c r="C10" s="20"/>
      <c r="D10" s="21"/>
      <c r="E10" s="22"/>
      <c r="F10" s="23"/>
      <c r="G10" s="23"/>
      <c r="H10" s="23"/>
      <c r="I10" s="23"/>
      <c r="J10" s="23"/>
      <c r="K10" s="23"/>
      <c r="L10" s="23"/>
      <c r="M10" s="23"/>
      <c r="N10" s="24"/>
      <c r="O10" s="24"/>
      <c r="R10" s="25" t="s">
        <v>25</v>
      </c>
    </row>
    <row r="11" spans="1:18">
      <c r="A11" s="26">
        <v>1</v>
      </c>
      <c r="B11" s="19">
        <v>44595</v>
      </c>
      <c r="C11" s="20" t="s">
        <v>26</v>
      </c>
      <c r="D11" s="21" t="str">
        <f>VLOOKUP(C:C,[1]SUPPLIERS!B:C,2,FALSE)</f>
        <v>103-309-192-0001</v>
      </c>
      <c r="E11" s="22">
        <v>15250</v>
      </c>
      <c r="F11" s="23">
        <f>E11/1.12*0.05</f>
        <v>680.80357142857144</v>
      </c>
      <c r="G11" s="23"/>
      <c r="H11" s="23"/>
      <c r="I11" s="23"/>
      <c r="J11" s="23"/>
      <c r="K11" s="23">
        <f>E11/1.12*0.01</f>
        <v>136.16071428571428</v>
      </c>
      <c r="L11" s="23"/>
      <c r="M11" s="23">
        <v>0</v>
      </c>
      <c r="N11" s="24">
        <f>SUM(F11:M11)</f>
        <v>816.96428571428578</v>
      </c>
      <c r="O11" s="24">
        <f>E11-N11</f>
        <v>14433.035714285714</v>
      </c>
      <c r="P11" s="3" t="s">
        <v>27</v>
      </c>
      <c r="R11" s="25" t="s">
        <v>25</v>
      </c>
    </row>
    <row r="12" spans="1:18">
      <c r="A12" s="18" t="s">
        <v>37</v>
      </c>
      <c r="B12" s="19"/>
      <c r="C12" s="27"/>
      <c r="D12" s="21"/>
      <c r="E12" s="22"/>
      <c r="F12" s="23"/>
      <c r="G12" s="23"/>
      <c r="H12" s="23"/>
      <c r="I12" s="23"/>
      <c r="J12" s="23"/>
      <c r="K12" s="23"/>
      <c r="L12" s="23"/>
      <c r="M12" s="23"/>
      <c r="N12" s="24"/>
      <c r="O12" s="24"/>
      <c r="R12" s="25"/>
    </row>
    <row r="13" spans="1:18">
      <c r="A13" s="26">
        <v>4</v>
      </c>
      <c r="B13" s="19">
        <v>44600</v>
      </c>
      <c r="C13" s="20" t="s">
        <v>35</v>
      </c>
      <c r="D13" s="21" t="s">
        <v>36</v>
      </c>
      <c r="E13" s="22">
        <v>17450</v>
      </c>
      <c r="F13" s="23"/>
      <c r="G13" s="23"/>
      <c r="H13" s="23">
        <f>E13*0.01</f>
        <v>174.5</v>
      </c>
      <c r="I13" s="23">
        <f>E13*0.01</f>
        <v>174.5</v>
      </c>
      <c r="J13" s="23"/>
      <c r="K13" s="23">
        <f>E13*0.01</f>
        <v>174.5</v>
      </c>
      <c r="L13" s="23"/>
      <c r="M13" s="23"/>
      <c r="N13" s="24">
        <f>SUM(F13:M13)</f>
        <v>523.5</v>
      </c>
      <c r="O13" s="24">
        <f>E13-N13</f>
        <v>16926.5</v>
      </c>
      <c r="P13" s="3" t="s">
        <v>28</v>
      </c>
      <c r="R13" s="25" t="s">
        <v>25</v>
      </c>
    </row>
    <row r="14" spans="1:18">
      <c r="A14" s="26"/>
      <c r="B14" s="19"/>
      <c r="C14" s="27"/>
      <c r="D14" s="21"/>
      <c r="E14" s="22"/>
      <c r="F14" s="23"/>
      <c r="G14" s="28"/>
      <c r="H14" s="23"/>
      <c r="I14" s="23"/>
      <c r="J14" s="23"/>
      <c r="K14" s="23"/>
      <c r="L14" s="23"/>
      <c r="M14" s="23"/>
      <c r="N14" s="24"/>
      <c r="O14" s="24"/>
      <c r="R14" s="25"/>
    </row>
    <row r="15" spans="1:18">
      <c r="A15" s="29"/>
      <c r="B15" s="30"/>
      <c r="C15" s="31"/>
      <c r="D15" s="32"/>
      <c r="E15" s="34"/>
      <c r="F15" s="33"/>
      <c r="G15" s="33"/>
      <c r="H15" s="33"/>
      <c r="I15" s="33"/>
      <c r="J15" s="33"/>
      <c r="K15" s="34"/>
      <c r="L15" s="33"/>
      <c r="M15" s="34"/>
      <c r="N15" s="63">
        <f>SUM(F15:M15)</f>
        <v>0</v>
      </c>
      <c r="O15" s="35">
        <f>SUM(G15:N15)</f>
        <v>0</v>
      </c>
      <c r="R15" s="5"/>
    </row>
    <row r="16" spans="1:18" ht="13.9" thickBot="1">
      <c r="A16" s="36"/>
      <c r="B16" s="37" t="s">
        <v>29</v>
      </c>
      <c r="C16" s="38"/>
      <c r="D16" s="39"/>
      <c r="E16" s="41">
        <f t="shared" ref="E16:O16" si="0">SUM(E11:E15)</f>
        <v>32700</v>
      </c>
      <c r="F16" s="40">
        <f t="shared" si="0"/>
        <v>680.80357142857144</v>
      </c>
      <c r="G16" s="40">
        <f t="shared" si="0"/>
        <v>0</v>
      </c>
      <c r="H16" s="40">
        <f t="shared" ref="H16" si="1">SUM(H11:H15)</f>
        <v>174.5</v>
      </c>
      <c r="I16" s="40">
        <f t="shared" si="0"/>
        <v>174.5</v>
      </c>
      <c r="J16" s="40">
        <f t="shared" si="0"/>
        <v>0</v>
      </c>
      <c r="K16" s="41">
        <f t="shared" si="0"/>
        <v>310.66071428571428</v>
      </c>
      <c r="L16" s="40">
        <f t="shared" si="0"/>
        <v>0</v>
      </c>
      <c r="M16" s="41">
        <f t="shared" si="0"/>
        <v>0</v>
      </c>
      <c r="N16" s="64">
        <f t="shared" si="0"/>
        <v>1340.4642857142858</v>
      </c>
      <c r="O16" s="42">
        <f t="shared" si="0"/>
        <v>31359.535714285714</v>
      </c>
      <c r="R16" s="43">
        <f>SUM(F16:N16)</f>
        <v>2680.9285714285716</v>
      </c>
    </row>
    <row r="17" spans="1:15" ht="13.9" thickTop="1">
      <c r="A17" s="44"/>
      <c r="B17" s="45"/>
      <c r="C17" s="46"/>
      <c r="D17" s="47"/>
      <c r="E17" s="48"/>
      <c r="F17" s="49"/>
      <c r="G17" s="49"/>
      <c r="H17" s="49"/>
      <c r="I17" s="49"/>
      <c r="J17" s="49"/>
      <c r="K17" s="49"/>
      <c r="L17" s="49"/>
      <c r="M17" s="49"/>
      <c r="N17" s="65"/>
      <c r="O17" s="50"/>
    </row>
    <row r="18" spans="1:15">
      <c r="A18" s="44"/>
      <c r="B18" s="45"/>
      <c r="C18" s="46"/>
      <c r="D18" s="47"/>
      <c r="E18" s="48"/>
      <c r="F18" s="49"/>
      <c r="G18" s="49"/>
      <c r="H18" s="49"/>
      <c r="I18" s="49"/>
      <c r="J18" s="49"/>
      <c r="K18" s="49"/>
      <c r="L18" s="49"/>
      <c r="M18" s="49"/>
      <c r="N18" s="46"/>
      <c r="O18" s="51"/>
    </row>
    <row r="19" spans="1:15">
      <c r="A19" s="44"/>
      <c r="B19" s="45" t="s">
        <v>30</v>
      </c>
      <c r="C19" s="46"/>
      <c r="D19" s="47"/>
      <c r="E19" s="48"/>
      <c r="F19" s="49"/>
      <c r="G19" s="49" t="s">
        <v>31</v>
      </c>
      <c r="H19" s="49"/>
      <c r="I19" s="49"/>
      <c r="J19" s="49"/>
      <c r="K19" s="49"/>
      <c r="L19" s="49"/>
      <c r="M19" s="49"/>
      <c r="N19" s="46"/>
      <c r="O19" s="51"/>
    </row>
    <row r="20" spans="1:15">
      <c r="A20" s="44"/>
      <c r="B20" s="45"/>
      <c r="C20" s="46"/>
      <c r="D20" s="47"/>
      <c r="E20" s="48"/>
      <c r="F20" s="49"/>
      <c r="G20" s="49"/>
      <c r="H20" s="49"/>
      <c r="I20" s="49"/>
      <c r="J20" s="49"/>
      <c r="K20" s="49"/>
      <c r="L20" s="49"/>
      <c r="M20" s="49"/>
      <c r="N20" s="46"/>
      <c r="O20" s="51"/>
    </row>
    <row r="21" spans="1:15">
      <c r="A21" s="44"/>
      <c r="B21" s="45"/>
      <c r="C21" s="46"/>
      <c r="D21" s="47"/>
      <c r="E21" s="48"/>
      <c r="F21" s="49"/>
      <c r="G21" s="49"/>
      <c r="H21" s="49"/>
      <c r="I21" s="49"/>
      <c r="J21" s="49"/>
      <c r="K21" s="49"/>
      <c r="L21" s="49"/>
      <c r="M21" s="49"/>
      <c r="N21" s="46"/>
      <c r="O21" s="51"/>
    </row>
    <row r="22" spans="1:15">
      <c r="A22" s="44"/>
      <c r="B22" s="45"/>
      <c r="C22" s="52"/>
      <c r="D22" s="47"/>
      <c r="E22" s="48"/>
      <c r="F22" s="49"/>
      <c r="G22" s="49"/>
      <c r="H22" s="49"/>
      <c r="I22" s="89"/>
      <c r="J22" s="89"/>
      <c r="K22" s="89"/>
      <c r="L22" s="89"/>
      <c r="M22" s="89"/>
      <c r="N22" s="46"/>
      <c r="O22" s="51"/>
    </row>
    <row r="23" spans="1:15">
      <c r="A23" s="44"/>
      <c r="B23" s="45"/>
      <c r="C23" s="47" t="s">
        <v>39</v>
      </c>
      <c r="D23" s="47"/>
      <c r="E23" s="48"/>
      <c r="F23" s="49"/>
      <c r="G23" s="49"/>
      <c r="H23" s="49"/>
      <c r="I23" s="83" t="s">
        <v>32</v>
      </c>
      <c r="J23" s="83"/>
      <c r="K23" s="83"/>
      <c r="L23" s="83"/>
      <c r="M23" s="83"/>
      <c r="N23" s="46"/>
      <c r="O23" s="51"/>
    </row>
    <row r="24" spans="1:15">
      <c r="A24" s="44"/>
      <c r="B24" s="45"/>
      <c r="C24" s="46"/>
      <c r="D24" s="47"/>
      <c r="E24" s="48"/>
      <c r="F24" s="49"/>
      <c r="G24" s="49"/>
      <c r="H24" s="49"/>
      <c r="I24" s="49"/>
      <c r="J24" s="49"/>
      <c r="K24" s="49"/>
      <c r="L24" s="49"/>
      <c r="M24" s="49"/>
      <c r="N24" s="46"/>
      <c r="O24" s="51"/>
    </row>
    <row r="25" spans="1:15" ht="13.9" thickBot="1">
      <c r="A25" s="53"/>
      <c r="B25" s="54" t="s">
        <v>33</v>
      </c>
      <c r="C25" s="55" t="s">
        <v>34</v>
      </c>
      <c r="D25" s="56"/>
      <c r="E25" s="57"/>
      <c r="F25" s="58"/>
      <c r="G25" s="58"/>
      <c r="H25" s="58"/>
      <c r="I25" s="58"/>
      <c r="J25" s="58"/>
      <c r="K25" s="58"/>
      <c r="L25" s="58"/>
      <c r="M25" s="58"/>
      <c r="N25" s="55"/>
      <c r="O25" s="59"/>
    </row>
  </sheetData>
  <mergeCells count="12">
    <mergeCell ref="N6:N9"/>
    <mergeCell ref="O6:O9"/>
    <mergeCell ref="J7:K7"/>
    <mergeCell ref="L7:M7"/>
    <mergeCell ref="I22:M22"/>
    <mergeCell ref="I23:M23"/>
    <mergeCell ref="B6:B9"/>
    <mergeCell ref="C6:C9"/>
    <mergeCell ref="D6:D9"/>
    <mergeCell ref="E6:E9"/>
    <mergeCell ref="F6:I6"/>
    <mergeCell ref="J6:M6"/>
  </mergeCells>
  <conditionalFormatting sqref="D13:E13">
    <cfRule type="duplicateValues" dxfId="6" priority="38"/>
  </conditionalFormatting>
  <conditionalFormatting sqref="C13">
    <cfRule type="duplicateValues" dxfId="5" priority="36"/>
  </conditionalFormatting>
  <conditionalFormatting sqref="C14">
    <cfRule type="duplicateValues" dxfId="4" priority="25"/>
  </conditionalFormatting>
  <conditionalFormatting sqref="C15">
    <cfRule type="duplicateValues" dxfId="3" priority="40"/>
  </conditionalFormatting>
  <conditionalFormatting sqref="C10">
    <cfRule type="duplicateValues" dxfId="2" priority="22"/>
  </conditionalFormatting>
  <conditionalFormatting sqref="C11">
    <cfRule type="duplicateValues" dxfId="1" priority="41"/>
  </conditionalFormatting>
  <conditionalFormatting sqref="C12">
    <cfRule type="duplicateValues" dxfId="0" priority="4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Monthly Tax Summary Repo</vt:lpstr>
    </vt:vector>
  </TitlesOfParts>
  <Company>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Mishelle</dc:creator>
  <cp:lastModifiedBy>USER</cp:lastModifiedBy>
  <dcterms:created xsi:type="dcterms:W3CDTF">2022-02-20T07:50:32Z</dcterms:created>
  <dcterms:modified xsi:type="dcterms:W3CDTF">2022-03-02T13:59:02Z</dcterms:modified>
</cp:coreProperties>
</file>