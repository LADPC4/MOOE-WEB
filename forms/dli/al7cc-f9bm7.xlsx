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externalLinks/externalLink1.xml" ContentType="application/vnd.openxmlformats-officedocument.spreadsheetml.externalLink+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7" rupBuild="4505"/>
  <workbookPr/>
  <bookViews>
    <workbookView xWindow="0" yWindow="458" windowWidth="20715" windowHeight="13875"/>
  </bookViews>
  <sheets>
    <sheet name="Sheet1 (2)" sheetId="2" r:id="rId1"/>
  </sheets>
  <externalReferences>
    <externalReference r:id="rId2"/>
  </externalReferences>
  <calcPr calcId="124519"/>
  <extLst xmlns:x15="http://schemas.microsoft.com/office/spreadsheetml/2010/11/main">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36" i="2"/>
  <c r="R35"/>
  <c r="R34"/>
  <c r="R33"/>
  <c r="S44"/>
  <c r="S43"/>
  <c r="S42"/>
  <c r="S41"/>
  <c r="F30"/>
  <c r="F29"/>
  <c r="F28"/>
  <c r="F27"/>
  <c r="G26"/>
  <c r="F25"/>
  <c r="G24"/>
  <c r="F22"/>
  <c r="F23"/>
  <c r="G37" l="1"/>
  <c r="G38" s="1"/>
  <c r="F37"/>
  <c r="F20"/>
  <c r="H18"/>
  <c r="H19" s="1"/>
  <c r="H20" s="1"/>
  <c r="H21" s="1"/>
  <c r="H22" s="1"/>
  <c r="H23" s="1"/>
  <c r="H24" s="1"/>
  <c r="H25" s="1"/>
  <c r="H26" s="1"/>
  <c r="H27" s="1"/>
  <c r="H28" s="1"/>
  <c r="H29" s="1"/>
  <c r="H30" s="1"/>
  <c r="U99"/>
  <c r="T99"/>
  <c r="U98"/>
  <c r="T98"/>
  <c r="U97"/>
  <c r="T97"/>
  <c r="U96"/>
  <c r="T96"/>
  <c r="U95"/>
  <c r="T95"/>
  <c r="U94"/>
  <c r="T94"/>
  <c r="U93"/>
  <c r="T93"/>
  <c r="U92"/>
  <c r="T92"/>
  <c r="U91"/>
  <c r="T91"/>
  <c r="U90"/>
  <c r="T90"/>
  <c r="U89"/>
  <c r="T89"/>
  <c r="U88"/>
  <c r="T88"/>
  <c r="T100" s="1"/>
  <c r="U82"/>
  <c r="T82"/>
  <c r="U81"/>
  <c r="T81"/>
  <c r="U80"/>
  <c r="T80"/>
  <c r="U79"/>
  <c r="T79"/>
  <c r="U78"/>
  <c r="T78"/>
  <c r="U77"/>
  <c r="T77"/>
  <c r="U76"/>
  <c r="T76"/>
  <c r="U75"/>
  <c r="T75"/>
  <c r="U74"/>
  <c r="T74"/>
  <c r="U73"/>
  <c r="T73"/>
  <c r="U72"/>
  <c r="T72"/>
  <c r="U71"/>
  <c r="U83" s="1"/>
  <c r="T71"/>
  <c r="T83" s="1"/>
  <c r="S46"/>
  <c r="S37"/>
  <c r="S38" s="1"/>
  <c r="P37"/>
  <c r="O37"/>
  <c r="N37"/>
  <c r="M37"/>
  <c r="L37"/>
  <c r="K37"/>
  <c r="J37"/>
  <c r="I37"/>
  <c r="E37"/>
  <c r="Y33"/>
  <c r="AA33"/>
  <c r="Y32"/>
  <c r="R32"/>
  <c r="AA31"/>
  <c r="Y31"/>
  <c r="R31"/>
  <c r="Y30"/>
  <c r="R30"/>
  <c r="AA29"/>
  <c r="Y29"/>
  <c r="R29"/>
  <c r="Y28"/>
  <c r="R28"/>
  <c r="AA27"/>
  <c r="Y27"/>
  <c r="R27"/>
  <c r="Y26"/>
  <c r="R26"/>
  <c r="Y25"/>
  <c r="R25"/>
  <c r="Y24"/>
  <c r="R24"/>
  <c r="Y23"/>
  <c r="R23"/>
  <c r="Y22"/>
  <c r="R22"/>
  <c r="AA21"/>
  <c r="Y21"/>
  <c r="R21"/>
  <c r="AA20"/>
  <c r="Y20"/>
  <c r="R20"/>
  <c r="P19"/>
  <c r="O19"/>
  <c r="N19"/>
  <c r="M19"/>
  <c r="L19"/>
  <c r="K19"/>
  <c r="J19"/>
  <c r="F38" l="1"/>
  <c r="S47"/>
  <c r="U100"/>
  <c r="Y34"/>
  <c r="Z34" s="1"/>
  <c r="AA24"/>
  <c r="AA32"/>
  <c r="AA23"/>
  <c r="AA30"/>
  <c r="AA28"/>
  <c r="AA26"/>
  <c r="AA25"/>
  <c r="AA22"/>
  <c r="H37"/>
  <c r="AA34" l="1"/>
  <c r="Y35"/>
  <c r="H38"/>
  <c r="H39" s="1"/>
</calcChain>
</file>

<file path=xl/sharedStrings.xml><?xml version="1.0" encoding="utf-8"?>
<sst xmlns="http://schemas.openxmlformats.org/spreadsheetml/2006/main" count="166" uniqueCount="99">
  <si>
    <t>CASH IN BANK REGISTER</t>
  </si>
  <si>
    <t xml:space="preserve"> Entity Name: </t>
  </si>
  <si>
    <t>DEPED - DIVISION OF CAGAYAN DE ORO CITY</t>
  </si>
  <si>
    <t xml:space="preserve">Sheet Number : </t>
  </si>
  <si>
    <t>Month:</t>
  </si>
  <si>
    <t xml:space="preserve"> School Name:</t>
  </si>
  <si>
    <t>TAGLIMAO NHS- BESIGAN ANNEX</t>
  </si>
  <si>
    <t>Name of Accountable Officer:</t>
  </si>
  <si>
    <t>ARNOLD S. LANGAM - SIC</t>
  </si>
  <si>
    <t xml:space="preserve"> City/Province:  </t>
  </si>
  <si>
    <t>CAGAYAN DE ORO CITY</t>
  </si>
  <si>
    <t xml:space="preserve">Station/School ID: </t>
  </si>
  <si>
    <t>304126</t>
  </si>
  <si>
    <t xml:space="preserve"> Fund Cluster/PAP : </t>
  </si>
  <si>
    <t>REGULAR MOOE</t>
  </si>
  <si>
    <t>Bank Account Number:</t>
  </si>
  <si>
    <t>DBP - 0-01255-810-9</t>
  </si>
  <si>
    <t>Location:</t>
  </si>
  <si>
    <t>SENIOR HIGH-MOOE</t>
  </si>
  <si>
    <t>SBFP</t>
  </si>
  <si>
    <t>Date</t>
  </si>
  <si>
    <t>Check No.</t>
  </si>
  <si>
    <t>PAYEE</t>
  </si>
  <si>
    <t>Particulars</t>
  </si>
  <si>
    <t>BREAKDOWN OF PAYMENTS</t>
  </si>
  <si>
    <t>CANCELLED</t>
  </si>
  <si>
    <t xml:space="preserve"> </t>
  </si>
  <si>
    <t>Amount</t>
  </si>
  <si>
    <t>Due to BIR (Withholding Tax)</t>
  </si>
  <si>
    <t>Traveling Expenses - Local</t>
  </si>
  <si>
    <t>Training Expenses</t>
  </si>
  <si>
    <t>Office Supplies Expenses</t>
  </si>
  <si>
    <t>Other Supplies and Materials Expenses</t>
  </si>
  <si>
    <t>Water Expenses</t>
  </si>
  <si>
    <t>Electricity Expenses</t>
  </si>
  <si>
    <t>Security Services</t>
  </si>
  <si>
    <t>O T H E R S</t>
  </si>
  <si>
    <t>DEPOSITS</t>
  </si>
  <si>
    <t>BALANCE</t>
  </si>
  <si>
    <t>Account Description</t>
  </si>
  <si>
    <t>UACS Object Code</t>
  </si>
  <si>
    <t>5020201000</t>
  </si>
  <si>
    <t>5020301000</t>
  </si>
  <si>
    <t>5020399000</t>
  </si>
  <si>
    <t>5020401000</t>
  </si>
  <si>
    <t>5020402000</t>
  </si>
  <si>
    <t>5021203000</t>
  </si>
  <si>
    <t>BALANCE FORWARDED</t>
  </si>
  <si>
    <t>check issuances</t>
  </si>
  <si>
    <t>DBM - PS</t>
  </si>
  <si>
    <t>Purchase of Office Supplies</t>
  </si>
  <si>
    <t>Food Supplies Expenses</t>
  </si>
  <si>
    <t>5020305000</t>
  </si>
  <si>
    <t>Semi-Expendable Machinery and Equipment Expenses</t>
  </si>
  <si>
    <t>Dataworld Computer Center</t>
  </si>
  <si>
    <t>Purchase of VGA Cable</t>
  </si>
  <si>
    <t>Ororama Supercenter</t>
  </si>
  <si>
    <t>Textbooks and Instructional Materials Expenses</t>
  </si>
  <si>
    <t>5020311000</t>
  </si>
  <si>
    <t>5020321000</t>
  </si>
  <si>
    <t>Globe Telecom</t>
  </si>
  <si>
    <t>Internet Subscription Expenses</t>
  </si>
  <si>
    <t>5020503000</t>
  </si>
  <si>
    <t>Totals</t>
  </si>
  <si>
    <t>TOTAL</t>
  </si>
  <si>
    <t>ENDING BALANCE PER FUND</t>
  </si>
  <si>
    <t>Recapitulation:</t>
  </si>
  <si>
    <t>Fund Cluster</t>
  </si>
  <si>
    <t>Cancelled checks</t>
  </si>
  <si>
    <t>,</t>
  </si>
  <si>
    <t>CERTIFIED CORRECT:</t>
  </si>
  <si>
    <t>CHECKED BY:</t>
  </si>
  <si>
    <t>Administrative Assistant III</t>
  </si>
  <si>
    <t>Date: ______________</t>
  </si>
  <si>
    <t>Administrative Assistant II</t>
  </si>
  <si>
    <t>SCHOOL HEAD</t>
  </si>
  <si>
    <t>OTHER PROJECT FUNDS</t>
  </si>
  <si>
    <t>Download for the Month</t>
  </si>
  <si>
    <t>Purchase of Printers</t>
  </si>
  <si>
    <t>Aruelo's Arts &amp; Prints</t>
  </si>
  <si>
    <t>Reproduction of Activity Sheets</t>
  </si>
  <si>
    <t>Purchase of food supplies for SBFP</t>
  </si>
  <si>
    <t>CEPALCO</t>
  </si>
  <si>
    <t>Electric Bill for November</t>
  </si>
  <si>
    <t>AJG Security Services</t>
  </si>
  <si>
    <t xml:space="preserve">SS for November </t>
  </si>
  <si>
    <t>COWD</t>
  </si>
  <si>
    <t>Water Bill for November</t>
  </si>
  <si>
    <t>Internet Bill for November</t>
  </si>
  <si>
    <t>(1 01 02 020 00)</t>
  </si>
  <si>
    <t>CASH IN BANK - LCCA</t>
  </si>
  <si>
    <t>The total of the "CASH IN BANK - LCCA  – Payments" column must always be equal to the sum of the totals of the "Breakdown of Payments" columns less "Due to BIR" Column.</t>
  </si>
  <si>
    <t>BANK MAINTAINING BALANCE</t>
  </si>
  <si>
    <t>DECEMBER</t>
  </si>
  <si>
    <t>1 of 1</t>
  </si>
  <si>
    <t>Appendix 37</t>
  </si>
  <si>
    <t>810 - CDO - Corrales Ave. Corner T. Neri Street</t>
  </si>
  <si>
    <t>PAYMENTS</t>
  </si>
  <si>
    <t>s</t>
  </si>
</sst>
</file>

<file path=xl/styles.xml><?xml version="1.0" encoding="utf-8"?>
<styleSheet xmlns="http://schemas.openxmlformats.org/spreadsheetml/2006/main">
  <numFmts count="4">
    <numFmt numFmtId="41" formatCode="_-* #,##0_-;\-* #,##0_-;_-* &quot;-&quot;_-;_-@_-"/>
    <numFmt numFmtId="43" formatCode="_-* #,##0.00_-;\-* #,##0.00_-;_-* &quot;-&quot;??_-;_-@_-"/>
    <numFmt numFmtId="164" formatCode="_(* #,##0.00_);_(* \(#,##0.00\);_(* &quot;-&quot;??_);_(@_)"/>
    <numFmt numFmtId="165" formatCode="_(* #,##0_);_(* \(#,##0\);_(* &quot;-&quot;??_);_(@_)"/>
  </numFmts>
  <fonts count="19">
    <font>
      <sz val="12"/>
      <color theme="1"/>
      <name val="Calibri"/>
      <family val="2"/>
      <scheme val="minor"/>
    </font>
    <font>
      <sz val="12"/>
      <color theme="1"/>
      <name val="Calibri"/>
      <family val="2"/>
      <scheme val="minor"/>
    </font>
    <font>
      <sz val="12"/>
      <name val="Arial Narrow"/>
      <family val="2"/>
    </font>
    <font>
      <b/>
      <sz val="12"/>
      <name val="Arial Narrow"/>
      <family val="2"/>
    </font>
    <font>
      <b/>
      <sz val="10"/>
      <name val="Arial Narrow"/>
      <family val="2"/>
    </font>
    <font>
      <sz val="12"/>
      <color indexed="8"/>
      <name val="Arial Narrow"/>
      <family val="2"/>
    </font>
    <font>
      <sz val="11"/>
      <name val="Arial Narrow"/>
      <family val="2"/>
    </font>
    <font>
      <sz val="8"/>
      <name val="Arial Narrow"/>
      <family val="2"/>
    </font>
    <font>
      <sz val="10"/>
      <name val="Arial Narrow"/>
      <family val="2"/>
    </font>
    <font>
      <sz val="9"/>
      <name val="Arial Narrow"/>
      <family val="2"/>
    </font>
    <font>
      <sz val="11"/>
      <color theme="1"/>
      <name val="Calibri"/>
      <family val="2"/>
      <scheme val="minor"/>
    </font>
    <font>
      <sz val="10"/>
      <color theme="1"/>
      <name val="Arial Narrow"/>
      <family val="2"/>
    </font>
    <font>
      <b/>
      <i/>
      <sz val="12"/>
      <name val="Arial Narrow"/>
      <family val="2"/>
    </font>
    <font>
      <b/>
      <sz val="14"/>
      <name val="Arial Narrow"/>
      <family val="2"/>
    </font>
    <font>
      <b/>
      <sz val="11"/>
      <name val="Arial Narrow"/>
      <family val="2"/>
    </font>
    <font>
      <b/>
      <sz val="20"/>
      <name val="Arial Bold"/>
    </font>
    <font>
      <b/>
      <sz val="22"/>
      <name val="Arial Black"/>
      <family val="2"/>
    </font>
    <font>
      <i/>
      <sz val="14"/>
      <name val="Times New Roman Italic"/>
    </font>
    <font>
      <sz val="14"/>
      <name val="Arial Narrow"/>
      <family val="2"/>
    </font>
  </fonts>
  <fills count="6">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FF99"/>
        <bgColor indexed="64"/>
      </patternFill>
    </fill>
  </fills>
  <borders count="55">
    <border>
      <left/>
      <right/>
      <top/>
      <bottom/>
      <diagonal/>
    </border>
    <border>
      <left/>
      <right/>
      <top/>
      <bottom style="thin">
        <color indexed="64"/>
      </bottom>
      <diagonal/>
    </border>
    <border>
      <left/>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right style="medium">
        <color indexed="64"/>
      </right>
      <top/>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medium">
        <color indexed="64"/>
      </left>
      <right style="medium">
        <color indexed="64"/>
      </right>
      <top/>
      <bottom style="thin">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double">
        <color indexed="64"/>
      </bottom>
      <diagonal/>
    </border>
    <border>
      <left/>
      <right style="thin">
        <color indexed="64"/>
      </right>
      <top style="thin">
        <color indexed="64"/>
      </top>
      <bottom style="double">
        <color indexed="64"/>
      </bottom>
      <diagonal/>
    </border>
    <border>
      <left/>
      <right style="medium">
        <color indexed="64"/>
      </right>
      <top style="thin">
        <color indexed="64"/>
      </top>
      <bottom style="double">
        <color indexed="64"/>
      </bottom>
      <diagonal/>
    </border>
    <border>
      <left style="medium">
        <color indexed="64"/>
      </left>
      <right/>
      <top/>
      <bottom/>
      <diagonal/>
    </border>
    <border>
      <left style="medium">
        <color indexed="64"/>
      </left>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diagonal/>
    </border>
    <border>
      <left style="thin">
        <color indexed="64"/>
      </left>
      <right/>
      <top/>
      <bottom style="thin">
        <color indexed="64"/>
      </bottom>
      <diagonal/>
    </border>
    <border>
      <left style="medium">
        <color indexed="64"/>
      </left>
      <right style="medium">
        <color indexed="64"/>
      </right>
      <top style="medium">
        <color indexed="64"/>
      </top>
      <bottom style="medium">
        <color indexed="64"/>
      </bottom>
      <diagonal/>
    </border>
    <border>
      <left/>
      <right style="thin">
        <color indexed="64"/>
      </right>
      <top/>
      <bottom style="medium">
        <color indexed="64"/>
      </bottom>
      <diagonal/>
    </border>
    <border>
      <left style="thin">
        <color indexed="64"/>
      </left>
      <right/>
      <top/>
      <bottom style="medium">
        <color indexed="64"/>
      </bottom>
      <diagonal/>
    </border>
    <border>
      <left/>
      <right/>
      <top style="medium">
        <color indexed="64"/>
      </top>
      <bottom style="medium">
        <color indexed="64"/>
      </bottom>
      <diagonal/>
    </border>
    <border>
      <left/>
      <right/>
      <top style="thin">
        <color indexed="64"/>
      </top>
      <bottom/>
      <diagonal/>
    </border>
    <border>
      <left style="medium">
        <color indexed="64"/>
      </left>
      <right style="medium">
        <color indexed="64"/>
      </right>
      <top style="thin">
        <color indexed="64"/>
      </top>
      <bottom style="double">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right/>
      <top style="thin">
        <color indexed="64"/>
      </top>
      <bottom style="medium">
        <color indexed="64"/>
      </bottom>
      <diagonal/>
    </border>
    <border>
      <left style="medium">
        <color indexed="64"/>
      </left>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s>
  <cellStyleXfs count="3">
    <xf numFmtId="0" fontId="0" fillId="0" borderId="0"/>
    <xf numFmtId="164" fontId="1" fillId="0" borderId="0" applyFont="0" applyFill="0" applyBorder="0" applyAlignment="0" applyProtection="0"/>
    <xf numFmtId="0" fontId="10" fillId="0" borderId="0"/>
  </cellStyleXfs>
  <cellXfs count="235">
    <xf numFmtId="0" fontId="0" fillId="0" borderId="0" xfId="0"/>
    <xf numFmtId="49" fontId="2" fillId="0" borderId="0" xfId="0" applyNumberFormat="1" applyFont="1" applyAlignment="1" applyProtection="1">
      <alignment horizontal="center"/>
      <protection locked="0"/>
    </xf>
    <xf numFmtId="0" fontId="2" fillId="0" borderId="0" xfId="0" applyFont="1" applyProtection="1">
      <protection locked="0"/>
    </xf>
    <xf numFmtId="165" fontId="2" fillId="0" borderId="0" xfId="0" applyNumberFormat="1" applyFont="1" applyProtection="1">
      <protection locked="0"/>
    </xf>
    <xf numFmtId="0" fontId="2" fillId="0" borderId="0" xfId="0" applyFont="1" applyProtection="1">
      <protection hidden="1"/>
    </xf>
    <xf numFmtId="0" fontId="3" fillId="0" borderId="0" xfId="0" applyFont="1" applyProtection="1">
      <protection hidden="1"/>
    </xf>
    <xf numFmtId="0" fontId="3" fillId="0" borderId="0" xfId="0" applyFont="1" applyAlignment="1" applyProtection="1">
      <alignment horizontal="left"/>
      <protection locked="0"/>
    </xf>
    <xf numFmtId="0" fontId="3" fillId="0" borderId="0" xfId="0" applyFont="1" applyProtection="1">
      <protection locked="0"/>
    </xf>
    <xf numFmtId="165" fontId="3" fillId="0" borderId="0" xfId="0" applyNumberFormat="1" applyFont="1" applyProtection="1">
      <protection locked="0"/>
    </xf>
    <xf numFmtId="165" fontId="3" fillId="0" borderId="0" xfId="0" applyNumberFormat="1" applyFont="1" applyProtection="1">
      <protection hidden="1"/>
    </xf>
    <xf numFmtId="165" fontId="3" fillId="0" borderId="1" xfId="0" applyNumberFormat="1" applyFont="1" applyBorder="1" applyProtection="1">
      <protection locked="0"/>
    </xf>
    <xf numFmtId="165" fontId="3" fillId="0" borderId="1" xfId="0" applyNumberFormat="1" applyFont="1" applyBorder="1" applyAlignment="1" applyProtection="1">
      <alignment horizontal="left"/>
      <protection locked="0"/>
    </xf>
    <xf numFmtId="0" fontId="5" fillId="2" borderId="23" xfId="0" applyFont="1" applyFill="1" applyBorder="1" applyAlignment="1" applyProtection="1">
      <alignment horizontal="center" wrapText="1"/>
      <protection hidden="1"/>
    </xf>
    <xf numFmtId="0" fontId="5" fillId="2" borderId="24" xfId="0" applyFont="1" applyFill="1" applyBorder="1" applyAlignment="1" applyProtection="1">
      <alignment horizontal="center" wrapText="1"/>
      <protection hidden="1"/>
    </xf>
    <xf numFmtId="14" fontId="2" fillId="0" borderId="26" xfId="0" applyNumberFormat="1" applyFont="1" applyBorder="1" applyAlignment="1" applyProtection="1">
      <alignment horizontal="left"/>
      <protection locked="0"/>
    </xf>
    <xf numFmtId="0" fontId="2" fillId="0" borderId="14" xfId="0" applyFont="1" applyBorder="1" applyProtection="1">
      <protection locked="0"/>
    </xf>
    <xf numFmtId="49" fontId="3" fillId="5" borderId="14" xfId="0" applyNumberFormat="1" applyFont="1" applyFill="1" applyBorder="1" applyAlignment="1" applyProtection="1">
      <alignment horizontal="left"/>
      <protection hidden="1"/>
    </xf>
    <xf numFmtId="0" fontId="2" fillId="5" borderId="14" xfId="0" applyFont="1" applyFill="1" applyBorder="1" applyAlignment="1" applyProtection="1">
      <alignment horizontal="left"/>
      <protection locked="0"/>
    </xf>
    <xf numFmtId="164" fontId="2" fillId="5" borderId="27" xfId="1" applyFont="1" applyFill="1" applyBorder="1" applyAlignment="1" applyProtection="1">
      <alignment horizontal="left" vertical="center" wrapText="1"/>
      <protection hidden="1"/>
    </xf>
    <xf numFmtId="164" fontId="2" fillId="5" borderId="28" xfId="1" applyFont="1" applyFill="1" applyBorder="1" applyAlignment="1" applyProtection="1">
      <alignment horizontal="right" vertical="center" wrapText="1"/>
      <protection hidden="1"/>
    </xf>
    <xf numFmtId="164" fontId="2" fillId="5" borderId="17" xfId="1" applyFont="1" applyFill="1" applyBorder="1" applyAlignment="1" applyProtection="1">
      <alignment horizontal="right" vertical="center" wrapText="1"/>
      <protection hidden="1"/>
    </xf>
    <xf numFmtId="164" fontId="2" fillId="5" borderId="14" xfId="1" applyFont="1" applyFill="1" applyBorder="1" applyAlignment="1" applyProtection="1">
      <alignment horizontal="right" vertical="center" wrapText="1"/>
      <protection hidden="1"/>
    </xf>
    <xf numFmtId="164" fontId="2" fillId="3" borderId="28" xfId="1" applyFont="1" applyFill="1" applyBorder="1" applyAlignment="1" applyProtection="1">
      <alignment horizontal="center" vertical="center" wrapText="1"/>
      <protection hidden="1"/>
    </xf>
    <xf numFmtId="165" fontId="2" fillId="3" borderId="27" xfId="0" applyNumberFormat="1" applyFont="1" applyFill="1" applyBorder="1" applyAlignment="1" applyProtection="1">
      <alignment horizontal="center" vertical="center" shrinkToFit="1"/>
      <protection hidden="1"/>
    </xf>
    <xf numFmtId="165" fontId="2" fillId="3" borderId="17" xfId="0" applyNumberFormat="1" applyFont="1" applyFill="1" applyBorder="1" applyAlignment="1" applyProtection="1">
      <alignment horizontal="center" wrapText="1"/>
      <protection hidden="1"/>
    </xf>
    <xf numFmtId="164" fontId="2" fillId="3" borderId="14" xfId="1" applyFont="1" applyFill="1" applyBorder="1" applyAlignment="1" applyProtection="1">
      <alignment horizontal="center" vertical="center" wrapText="1"/>
      <protection hidden="1"/>
    </xf>
    <xf numFmtId="1" fontId="2" fillId="0" borderId="14" xfId="0" quotePrefix="1" applyNumberFormat="1" applyFont="1" applyBorder="1" applyAlignment="1" applyProtection="1">
      <alignment horizontal="center"/>
      <protection locked="0"/>
    </xf>
    <xf numFmtId="0" fontId="3" fillId="5" borderId="14" xfId="0" applyFont="1" applyFill="1" applyBorder="1" applyAlignment="1" applyProtection="1">
      <alignment horizontal="left"/>
      <protection locked="0"/>
    </xf>
    <xf numFmtId="0" fontId="2" fillId="5" borderId="14" xfId="0" applyFont="1" applyFill="1" applyBorder="1" applyAlignment="1" applyProtection="1">
      <alignment horizontal="left" wrapText="1"/>
      <protection locked="0"/>
    </xf>
    <xf numFmtId="4" fontId="2" fillId="5" borderId="14" xfId="1" applyNumberFormat="1" applyFont="1" applyFill="1" applyBorder="1" applyAlignment="1" applyProtection="1">
      <alignment horizontal="right" vertical="center" wrapText="1"/>
      <protection hidden="1"/>
    </xf>
    <xf numFmtId="1" fontId="2" fillId="0" borderId="14" xfId="0" applyNumberFormat="1" applyFont="1" applyBorder="1" applyAlignment="1" applyProtection="1">
      <alignment horizontal="center"/>
      <protection locked="0"/>
    </xf>
    <xf numFmtId="0" fontId="3" fillId="4" borderId="14" xfId="0" applyFont="1" applyFill="1" applyBorder="1" applyAlignment="1" applyProtection="1">
      <alignment horizontal="left"/>
      <protection hidden="1"/>
    </xf>
    <xf numFmtId="0" fontId="2" fillId="4" borderId="14" xfId="0" applyFont="1" applyFill="1" applyBorder="1" applyAlignment="1" applyProtection="1">
      <alignment horizontal="left"/>
      <protection locked="0"/>
    </xf>
    <xf numFmtId="164" fontId="2" fillId="4" borderId="27" xfId="1" applyFont="1" applyFill="1" applyBorder="1" applyAlignment="1" applyProtection="1">
      <alignment horizontal="center" vertical="center" wrapText="1"/>
      <protection locked="0"/>
    </xf>
    <xf numFmtId="164" fontId="2" fillId="4" borderId="28" xfId="1" applyFont="1" applyFill="1" applyBorder="1" applyAlignment="1" applyProtection="1">
      <alignment horizontal="right" vertical="center" wrapText="1"/>
      <protection hidden="1"/>
    </xf>
    <xf numFmtId="164" fontId="2" fillId="4" borderId="17" xfId="1" applyFont="1" applyFill="1" applyBorder="1" applyAlignment="1" applyProtection="1">
      <alignment horizontal="right" vertical="center" wrapText="1"/>
      <protection hidden="1"/>
    </xf>
    <xf numFmtId="4" fontId="2" fillId="4" borderId="14" xfId="1" applyNumberFormat="1" applyFont="1" applyFill="1" applyBorder="1" applyAlignment="1" applyProtection="1">
      <alignment horizontal="right" vertical="center" wrapText="1"/>
      <protection hidden="1"/>
    </xf>
    <xf numFmtId="164" fontId="2" fillId="3" borderId="17" xfId="1" applyFont="1" applyFill="1" applyBorder="1" applyAlignment="1" applyProtection="1">
      <alignment horizontal="center" vertical="center" wrapText="1"/>
      <protection hidden="1"/>
    </xf>
    <xf numFmtId="164" fontId="2" fillId="3" borderId="1" xfId="1" applyFont="1" applyFill="1" applyBorder="1" applyAlignment="1" applyProtection="1">
      <alignment horizontal="center" vertical="center" wrapText="1"/>
      <protection hidden="1"/>
    </xf>
    <xf numFmtId="165" fontId="6" fillId="3" borderId="27" xfId="0" applyNumberFormat="1" applyFont="1" applyFill="1" applyBorder="1" applyAlignment="1" applyProtection="1">
      <alignment horizontal="center" vertical="center" wrapText="1" shrinkToFit="1"/>
      <protection hidden="1"/>
    </xf>
    <xf numFmtId="1" fontId="7" fillId="3" borderId="17" xfId="1" applyNumberFormat="1" applyFont="1" applyFill="1" applyBorder="1" applyAlignment="1" applyProtection="1">
      <alignment horizontal="center" wrapText="1"/>
      <protection hidden="1"/>
    </xf>
    <xf numFmtId="14" fontId="3" fillId="4" borderId="14" xfId="0" applyNumberFormat="1" applyFont="1" applyFill="1" applyBorder="1" applyAlignment="1" applyProtection="1">
      <alignment horizontal="left"/>
      <protection locked="0"/>
    </xf>
    <xf numFmtId="0" fontId="2" fillId="4" borderId="14" xfId="0" applyFont="1" applyFill="1" applyBorder="1" applyAlignment="1" applyProtection="1">
      <alignment horizontal="left" wrapText="1"/>
      <protection locked="0"/>
    </xf>
    <xf numFmtId="1" fontId="7" fillId="3" borderId="17" xfId="0" applyNumberFormat="1" applyFont="1" applyFill="1" applyBorder="1" applyAlignment="1" applyProtection="1">
      <alignment horizontal="center" wrapText="1"/>
      <protection hidden="1"/>
    </xf>
    <xf numFmtId="14" fontId="2" fillId="0" borderId="14" xfId="0" applyNumberFormat="1" applyFont="1" applyBorder="1" applyAlignment="1" applyProtection="1">
      <alignment horizontal="left" wrapText="1"/>
      <protection locked="0"/>
    </xf>
    <xf numFmtId="0" fontId="2" fillId="0" borderId="14" xfId="0" applyFont="1" applyBorder="1" applyAlignment="1" applyProtection="1">
      <alignment horizontal="left" wrapText="1"/>
      <protection locked="0"/>
    </xf>
    <xf numFmtId="164" fontId="2" fillId="0" borderId="27" xfId="1" applyFont="1" applyFill="1" applyBorder="1" applyAlignment="1" applyProtection="1">
      <alignment horizontal="center" vertical="center" wrapText="1"/>
      <protection locked="0"/>
    </xf>
    <xf numFmtId="164" fontId="2" fillId="3" borderId="28" xfId="1" applyFont="1" applyFill="1" applyBorder="1" applyAlignment="1" applyProtection="1">
      <alignment horizontal="right" vertical="center" wrapText="1"/>
      <protection hidden="1"/>
    </xf>
    <xf numFmtId="164" fontId="2" fillId="3" borderId="17" xfId="1" applyFont="1" applyFill="1" applyBorder="1" applyAlignment="1" applyProtection="1">
      <alignment horizontal="right" vertical="center" wrapText="1"/>
      <protection hidden="1"/>
    </xf>
    <xf numFmtId="4" fontId="2" fillId="3" borderId="14" xfId="1" applyNumberFormat="1" applyFont="1" applyFill="1" applyBorder="1" applyAlignment="1" applyProtection="1">
      <alignment horizontal="right" vertical="center" wrapText="1"/>
      <protection hidden="1"/>
    </xf>
    <xf numFmtId="164" fontId="2" fillId="0" borderId="28" xfId="1" applyFont="1" applyFill="1" applyBorder="1" applyAlignment="1" applyProtection="1">
      <alignment horizontal="center" vertical="center" wrapText="1"/>
      <protection locked="0"/>
    </xf>
    <xf numFmtId="164" fontId="2" fillId="0" borderId="17" xfId="1" applyFont="1" applyFill="1" applyBorder="1" applyAlignment="1" applyProtection="1">
      <alignment horizontal="center" vertical="center" wrapText="1"/>
      <protection locked="0"/>
    </xf>
    <xf numFmtId="164" fontId="2" fillId="0" borderId="1" xfId="1" applyFont="1" applyFill="1" applyBorder="1" applyAlignment="1" applyProtection="1">
      <alignment horizontal="center" vertical="center" wrapText="1"/>
      <protection locked="0"/>
    </xf>
    <xf numFmtId="164" fontId="2" fillId="0" borderId="14" xfId="1" applyFont="1" applyFill="1" applyBorder="1" applyAlignment="1" applyProtection="1">
      <alignment horizontal="center" vertical="center" wrapText="1"/>
      <protection locked="0"/>
    </xf>
    <xf numFmtId="165" fontId="6" fillId="0" borderId="27" xfId="0" applyNumberFormat="1" applyFont="1" applyBorder="1" applyAlignment="1" applyProtection="1">
      <alignment horizontal="center" vertical="center" wrapText="1" shrinkToFit="1"/>
      <protection locked="0"/>
    </xf>
    <xf numFmtId="1" fontId="7" fillId="4" borderId="17" xfId="0" applyNumberFormat="1" applyFont="1" applyFill="1" applyBorder="1" applyAlignment="1" applyProtection="1">
      <alignment horizontal="center" wrapText="1"/>
      <protection hidden="1"/>
    </xf>
    <xf numFmtId="164" fontId="2" fillId="0" borderId="29" xfId="1" applyFont="1" applyFill="1" applyBorder="1" applyAlignment="1" applyProtection="1">
      <alignment horizontal="center" vertical="center" wrapText="1"/>
      <protection locked="0"/>
    </xf>
    <xf numFmtId="164" fontId="2" fillId="0" borderId="30" xfId="1" applyFont="1" applyFill="1" applyBorder="1" applyAlignment="1" applyProtection="1">
      <alignment horizontal="center" vertical="center" wrapText="1"/>
      <protection locked="0"/>
    </xf>
    <xf numFmtId="164" fontId="2" fillId="0" borderId="15" xfId="1" applyFont="1" applyFill="1" applyBorder="1" applyAlignment="1" applyProtection="1">
      <alignment horizontal="center" vertical="center" wrapText="1"/>
      <protection locked="0"/>
    </xf>
    <xf numFmtId="164" fontId="2" fillId="0" borderId="2" xfId="1" applyFont="1" applyFill="1" applyBorder="1" applyAlignment="1" applyProtection="1">
      <alignment horizontal="center" vertical="center" wrapText="1"/>
      <protection locked="0"/>
    </xf>
    <xf numFmtId="164" fontId="2" fillId="0" borderId="31" xfId="1" applyFont="1" applyFill="1" applyBorder="1" applyAlignment="1" applyProtection="1">
      <alignment horizontal="center" vertical="center" wrapText="1"/>
      <protection locked="0"/>
    </xf>
    <xf numFmtId="0" fontId="2" fillId="5" borderId="0" xfId="0" applyFont="1" applyFill="1" applyProtection="1">
      <protection locked="0"/>
    </xf>
    <xf numFmtId="164" fontId="3" fillId="3" borderId="32" xfId="1" applyFont="1" applyFill="1" applyBorder="1" applyAlignment="1" applyProtection="1">
      <alignment horizontal="center" vertical="center" wrapText="1"/>
      <protection hidden="1"/>
    </xf>
    <xf numFmtId="164" fontId="3" fillId="3" borderId="33" xfId="1" applyFont="1" applyFill="1" applyBorder="1" applyAlignment="1" applyProtection="1">
      <alignment horizontal="center" vertical="center" wrapText="1"/>
      <protection hidden="1"/>
    </xf>
    <xf numFmtId="164" fontId="3" fillId="3" borderId="34" xfId="1" applyFont="1" applyFill="1" applyBorder="1" applyAlignment="1" applyProtection="1">
      <alignment horizontal="right" vertical="center" wrapText="1"/>
      <protection hidden="1"/>
    </xf>
    <xf numFmtId="165" fontId="3" fillId="3" borderId="29" xfId="0" applyNumberFormat="1" applyFont="1" applyFill="1" applyBorder="1" applyAlignment="1" applyProtection="1">
      <alignment horizontal="center" vertical="center" wrapText="1"/>
      <protection hidden="1"/>
    </xf>
    <xf numFmtId="165" fontId="3" fillId="3" borderId="15" xfId="0" applyNumberFormat="1" applyFont="1" applyFill="1" applyBorder="1" applyAlignment="1" applyProtection="1">
      <alignment horizontal="center" vertical="center" wrapText="1"/>
      <protection hidden="1"/>
    </xf>
    <xf numFmtId="164" fontId="3" fillId="3" borderId="34" xfId="1" applyFont="1" applyFill="1" applyBorder="1" applyAlignment="1" applyProtection="1">
      <alignment horizontal="center" vertical="center" wrapText="1"/>
      <protection hidden="1"/>
    </xf>
    <xf numFmtId="4" fontId="3" fillId="0" borderId="28" xfId="0" applyNumberFormat="1" applyFont="1" applyBorder="1" applyAlignment="1" applyProtection="1">
      <alignment vertical="center" wrapText="1"/>
      <protection hidden="1"/>
    </xf>
    <xf numFmtId="165" fontId="2" fillId="0" borderId="22" xfId="0" applyNumberFormat="1" applyFont="1" applyBorder="1" applyAlignment="1" applyProtection="1">
      <alignment horizontal="center" vertical="center" wrapText="1"/>
      <protection hidden="1"/>
    </xf>
    <xf numFmtId="165" fontId="2" fillId="0" borderId="25" xfId="0" applyNumberFormat="1" applyFont="1" applyBorder="1" applyAlignment="1" applyProtection="1">
      <alignment horizontal="center" vertical="center" wrapText="1"/>
      <protection hidden="1"/>
    </xf>
    <xf numFmtId="4" fontId="3" fillId="0" borderId="16" xfId="0" applyNumberFormat="1" applyFont="1" applyBorder="1" applyAlignment="1" applyProtection="1">
      <alignment horizontal="right" vertical="center" wrapText="1"/>
      <protection hidden="1"/>
    </xf>
    <xf numFmtId="41" fontId="2" fillId="0" borderId="0" xfId="0" applyNumberFormat="1" applyFont="1" applyProtection="1">
      <protection hidden="1"/>
    </xf>
    <xf numFmtId="49" fontId="3" fillId="0" borderId="36" xfId="0" applyNumberFormat="1" applyFont="1" applyBorder="1" applyProtection="1">
      <protection locked="0"/>
    </xf>
    <xf numFmtId="49" fontId="3" fillId="0" borderId="2" xfId="0" applyNumberFormat="1" applyFont="1" applyBorder="1" applyProtection="1">
      <protection locked="0"/>
    </xf>
    <xf numFmtId="4" fontId="3" fillId="0" borderId="28" xfId="0" applyNumberFormat="1" applyFont="1" applyBorder="1" applyAlignment="1" applyProtection="1">
      <alignment vertical="center" wrapText="1"/>
      <protection locked="0"/>
    </xf>
    <xf numFmtId="4" fontId="3" fillId="0" borderId="39" xfId="0" applyNumberFormat="1" applyFont="1" applyBorder="1" applyAlignment="1" applyProtection="1">
      <alignment vertical="center" wrapText="1"/>
      <protection locked="0"/>
    </xf>
    <xf numFmtId="165" fontId="3" fillId="2" borderId="3" xfId="0" applyNumberFormat="1" applyFont="1" applyFill="1" applyBorder="1" applyAlignment="1" applyProtection="1">
      <alignment horizontal="left" vertical="center" wrapText="1"/>
      <protection hidden="1"/>
    </xf>
    <xf numFmtId="165" fontId="2" fillId="2" borderId="5" xfId="0" applyNumberFormat="1" applyFont="1" applyFill="1" applyBorder="1" applyAlignment="1" applyProtection="1">
      <alignment horizontal="center" vertical="center" wrapText="1"/>
      <protection hidden="1"/>
    </xf>
    <xf numFmtId="165" fontId="2" fillId="2" borderId="3" xfId="0" applyNumberFormat="1" applyFont="1" applyFill="1" applyBorder="1" applyAlignment="1" applyProtection="1">
      <alignment horizontal="center" vertical="center" wrapText="1"/>
      <protection hidden="1"/>
    </xf>
    <xf numFmtId="165" fontId="2" fillId="0" borderId="28" xfId="0" applyNumberFormat="1" applyFont="1" applyBorder="1" applyAlignment="1" applyProtection="1">
      <alignment horizontal="center" vertical="center" wrapText="1"/>
      <protection locked="0"/>
    </xf>
    <xf numFmtId="165" fontId="2" fillId="0" borderId="17" xfId="0" applyNumberFormat="1" applyFont="1" applyBorder="1" applyAlignment="1" applyProtection="1">
      <alignment horizontal="center" vertical="center" wrapText="1"/>
      <protection locked="0"/>
    </xf>
    <xf numFmtId="165" fontId="2" fillId="0" borderId="14" xfId="0" applyNumberFormat="1" applyFont="1" applyBorder="1" applyAlignment="1" applyProtection="1">
      <alignment horizontal="center" vertical="center" wrapText="1"/>
      <protection locked="0"/>
    </xf>
    <xf numFmtId="165" fontId="2" fillId="0" borderId="1" xfId="0" applyNumberFormat="1" applyFont="1" applyBorder="1" applyAlignment="1" applyProtection="1">
      <alignment horizontal="center" vertical="center" wrapText="1"/>
      <protection locked="0"/>
    </xf>
    <xf numFmtId="165" fontId="2" fillId="0" borderId="40" xfId="0" applyNumberFormat="1" applyFont="1" applyBorder="1" applyAlignment="1" applyProtection="1">
      <alignment horizontal="center" vertical="center" wrapText="1"/>
      <protection locked="0"/>
    </xf>
    <xf numFmtId="165" fontId="6" fillId="0" borderId="37" xfId="0" applyNumberFormat="1" applyFont="1" applyBorder="1" applyAlignment="1" applyProtection="1">
      <alignment horizontal="center" vertical="center" wrapText="1"/>
      <protection locked="0"/>
    </xf>
    <xf numFmtId="165" fontId="2" fillId="2" borderId="41" xfId="0" applyNumberFormat="1" applyFont="1" applyFill="1" applyBorder="1" applyAlignment="1" applyProtection="1">
      <alignment horizontal="center" vertical="center" wrapText="1"/>
      <protection hidden="1"/>
    </xf>
    <xf numFmtId="165" fontId="8" fillId="2" borderId="38" xfId="0" applyNumberFormat="1" applyFont="1" applyFill="1" applyBorder="1" applyAlignment="1" applyProtection="1">
      <alignment horizontal="center" vertical="center" wrapText="1"/>
      <protection hidden="1"/>
    </xf>
    <xf numFmtId="165" fontId="9" fillId="0" borderId="27" xfId="0" applyNumberFormat="1" applyFont="1" applyBorder="1" applyAlignment="1" applyProtection="1">
      <alignment horizontal="center" vertical="center" wrapText="1"/>
      <protection locked="0"/>
    </xf>
    <xf numFmtId="0" fontId="11" fillId="0" borderId="17" xfId="2" applyFont="1" applyBorder="1" applyAlignment="1" applyProtection="1">
      <alignment wrapText="1" shrinkToFit="1"/>
      <protection locked="0"/>
    </xf>
    <xf numFmtId="1" fontId="2" fillId="0" borderId="17" xfId="0" applyNumberFormat="1" applyFont="1" applyBorder="1" applyAlignment="1" applyProtection="1">
      <alignment horizontal="center" vertical="center" wrapText="1"/>
      <protection locked="0"/>
    </xf>
    <xf numFmtId="43" fontId="2" fillId="0" borderId="28" xfId="0" applyNumberFormat="1" applyFont="1" applyBorder="1" applyAlignment="1" applyProtection="1">
      <alignment horizontal="right" vertical="center" wrapText="1"/>
      <protection locked="0"/>
    </xf>
    <xf numFmtId="0" fontId="11" fillId="0" borderId="15" xfId="2" applyFont="1" applyBorder="1" applyAlignment="1" applyProtection="1">
      <alignment shrinkToFit="1"/>
      <protection locked="0"/>
    </xf>
    <xf numFmtId="1" fontId="2" fillId="0" borderId="15" xfId="0" applyNumberFormat="1" applyFont="1" applyBorder="1" applyAlignment="1" applyProtection="1">
      <alignment horizontal="center" vertical="center" wrapText="1"/>
      <protection locked="0"/>
    </xf>
    <xf numFmtId="43" fontId="3" fillId="0" borderId="28" xfId="0" applyNumberFormat="1" applyFont="1" applyBorder="1" applyAlignment="1" applyProtection="1">
      <alignment horizontal="right" vertical="center" wrapText="1"/>
      <protection locked="0"/>
    </xf>
    <xf numFmtId="165" fontId="3" fillId="0" borderId="17" xfId="0" applyNumberFormat="1" applyFont="1" applyBorder="1" applyAlignment="1" applyProtection="1">
      <alignment horizontal="center" vertical="center" wrapText="1"/>
      <protection locked="0"/>
    </xf>
    <xf numFmtId="165" fontId="2" fillId="0" borderId="29" xfId="0" applyNumberFormat="1" applyFont="1" applyBorder="1" applyAlignment="1" applyProtection="1">
      <alignment horizontal="center" vertical="center" wrapText="1"/>
      <protection locked="0"/>
    </xf>
    <xf numFmtId="165" fontId="3" fillId="2" borderId="15" xfId="0" applyNumberFormat="1" applyFont="1" applyFill="1" applyBorder="1" applyAlignment="1" applyProtection="1">
      <alignment horizontal="center" vertical="center" wrapText="1"/>
      <protection hidden="1"/>
    </xf>
    <xf numFmtId="165" fontId="2" fillId="2" borderId="15" xfId="0" applyNumberFormat="1" applyFont="1" applyFill="1" applyBorder="1" applyAlignment="1" applyProtection="1">
      <alignment horizontal="left" vertical="center"/>
      <protection hidden="1"/>
    </xf>
    <xf numFmtId="164" fontId="3" fillId="2" borderId="34" xfId="1" applyFont="1" applyFill="1" applyBorder="1" applyAlignment="1" applyProtection="1">
      <alignment horizontal="center" vertical="center" wrapText="1"/>
      <protection hidden="1"/>
    </xf>
    <xf numFmtId="165" fontId="3" fillId="0" borderId="42" xfId="0" applyNumberFormat="1" applyFont="1" applyBorder="1" applyAlignment="1" applyProtection="1">
      <alignment horizontal="center" vertical="center" wrapText="1"/>
      <protection locked="0"/>
    </xf>
    <xf numFmtId="165" fontId="2" fillId="0" borderId="25" xfId="0" applyNumberFormat="1" applyFont="1" applyBorder="1" applyAlignment="1" applyProtection="1">
      <alignment horizontal="center" vertical="center" wrapText="1"/>
      <protection locked="0"/>
    </xf>
    <xf numFmtId="165" fontId="2" fillId="0" borderId="10" xfId="0" applyNumberFormat="1" applyFont="1" applyBorder="1" applyAlignment="1" applyProtection="1">
      <alignment horizontal="center" vertical="center" wrapText="1"/>
      <protection locked="0"/>
    </xf>
    <xf numFmtId="165" fontId="2" fillId="0" borderId="42" xfId="0" applyNumberFormat="1" applyFont="1" applyBorder="1" applyAlignment="1" applyProtection="1">
      <alignment horizontal="center" vertical="center" wrapText="1"/>
      <protection locked="0"/>
    </xf>
    <xf numFmtId="165" fontId="2" fillId="0" borderId="9" xfId="0" applyNumberFormat="1" applyFont="1" applyBorder="1" applyAlignment="1" applyProtection="1">
      <alignment horizontal="center" vertical="center" wrapText="1"/>
      <protection locked="0"/>
    </xf>
    <xf numFmtId="165" fontId="2" fillId="0" borderId="43" xfId="0" applyNumberFormat="1" applyFont="1" applyBorder="1" applyAlignment="1" applyProtection="1">
      <alignment horizontal="center" vertical="center" wrapText="1"/>
      <protection locked="0"/>
    </xf>
    <xf numFmtId="165" fontId="2" fillId="0" borderId="23" xfId="0" applyNumberFormat="1" applyFont="1" applyBorder="1" applyAlignment="1" applyProtection="1">
      <alignment horizontal="center" vertical="center" wrapText="1"/>
      <protection locked="0"/>
    </xf>
    <xf numFmtId="165" fontId="2" fillId="0" borderId="24" xfId="0" applyNumberFormat="1" applyFont="1" applyBorder="1" applyAlignment="1" applyProtection="1">
      <alignment horizontal="center" vertical="center" wrapText="1"/>
      <protection hidden="1"/>
    </xf>
    <xf numFmtId="165" fontId="2" fillId="0" borderId="10" xfId="0" applyNumberFormat="1" applyFont="1" applyBorder="1" applyAlignment="1" applyProtection="1">
      <alignment horizontal="center" vertical="center" wrapText="1"/>
      <protection hidden="1"/>
    </xf>
    <xf numFmtId="49" fontId="2" fillId="0" borderId="8" xfId="0" applyNumberFormat="1" applyFont="1" applyBorder="1" applyAlignment="1" applyProtection="1">
      <alignment horizontal="center"/>
      <protection locked="0"/>
    </xf>
    <xf numFmtId="0" fontId="2" fillId="0" borderId="9" xfId="0" applyFont="1" applyBorder="1" applyProtection="1">
      <protection locked="0"/>
    </xf>
    <xf numFmtId="165" fontId="2" fillId="0" borderId="9" xfId="0" applyNumberFormat="1" applyFont="1" applyBorder="1" applyProtection="1">
      <protection locked="0"/>
    </xf>
    <xf numFmtId="49" fontId="2" fillId="0" borderId="35" xfId="0" applyNumberFormat="1" applyFont="1" applyBorder="1" applyAlignment="1" applyProtection="1">
      <alignment horizontal="center"/>
      <protection locked="0"/>
    </xf>
    <xf numFmtId="165" fontId="2" fillId="0" borderId="16" xfId="0" applyNumberFormat="1" applyFont="1" applyBorder="1" applyProtection="1">
      <protection locked="0"/>
    </xf>
    <xf numFmtId="0" fontId="2" fillId="0" borderId="35" xfId="0" applyFont="1" applyBorder="1" applyProtection="1">
      <protection locked="0"/>
    </xf>
    <xf numFmtId="165" fontId="2" fillId="0" borderId="0" xfId="0" applyNumberFormat="1" applyFont="1" applyAlignment="1" applyProtection="1">
      <alignment horizontal="left"/>
      <protection locked="0"/>
    </xf>
    <xf numFmtId="165" fontId="2" fillId="0" borderId="0" xfId="0" applyNumberFormat="1" applyFont="1" applyAlignment="1" applyProtection="1">
      <alignment wrapText="1"/>
      <protection locked="0"/>
    </xf>
    <xf numFmtId="165" fontId="2" fillId="0" borderId="0" xfId="0" applyNumberFormat="1" applyFont="1" applyAlignment="1" applyProtection="1">
      <alignment horizontal="center"/>
      <protection locked="0"/>
    </xf>
    <xf numFmtId="165" fontId="2" fillId="0" borderId="9" xfId="0" applyNumberFormat="1" applyFont="1" applyBorder="1" applyAlignment="1" applyProtection="1">
      <alignment horizontal="left"/>
      <protection locked="0"/>
    </xf>
    <xf numFmtId="165" fontId="2" fillId="0" borderId="10" xfId="0" applyNumberFormat="1" applyFont="1" applyBorder="1" applyProtection="1">
      <protection locked="0"/>
    </xf>
    <xf numFmtId="0" fontId="2" fillId="0" borderId="37" xfId="0" applyFont="1" applyBorder="1" applyProtection="1">
      <protection locked="0"/>
    </xf>
    <xf numFmtId="49" fontId="3" fillId="0" borderId="0" xfId="0" applyNumberFormat="1" applyFont="1" applyAlignment="1" applyProtection="1">
      <alignment horizontal="center"/>
      <protection locked="0"/>
    </xf>
    <xf numFmtId="0" fontId="3" fillId="0" borderId="37" xfId="0" applyFont="1" applyBorder="1" applyProtection="1">
      <protection locked="0"/>
    </xf>
    <xf numFmtId="43" fontId="3" fillId="0" borderId="15" xfId="0" applyNumberFormat="1" applyFont="1" applyBorder="1" applyAlignment="1" applyProtection="1">
      <alignment horizontal="right" vertical="center" wrapText="1"/>
      <protection locked="0"/>
    </xf>
    <xf numFmtId="164" fontId="2" fillId="4" borderId="14" xfId="1" applyFont="1" applyFill="1" applyBorder="1" applyAlignment="1" applyProtection="1">
      <alignment horizontal="right" vertical="center" wrapText="1"/>
      <protection hidden="1"/>
    </xf>
    <xf numFmtId="164" fontId="2" fillId="0" borderId="14" xfId="1" applyFont="1" applyBorder="1" applyAlignment="1" applyProtection="1">
      <alignment horizontal="center" vertical="center" wrapText="1"/>
      <protection locked="0"/>
    </xf>
    <xf numFmtId="164" fontId="2" fillId="0" borderId="28" xfId="1" applyFont="1" applyBorder="1" applyAlignment="1" applyProtection="1">
      <alignment horizontal="center" vertical="center" wrapText="1"/>
      <protection locked="0"/>
    </xf>
    <xf numFmtId="165" fontId="2" fillId="0" borderId="9" xfId="0" applyNumberFormat="1" applyFont="1" applyBorder="1" applyAlignment="1" applyProtection="1">
      <alignment horizontal="center"/>
      <protection locked="0"/>
    </xf>
    <xf numFmtId="49" fontId="3" fillId="0" borderId="36" xfId="0" applyNumberFormat="1" applyFont="1" applyFill="1" applyBorder="1" applyAlignment="1" applyProtection="1">
      <protection hidden="1"/>
    </xf>
    <xf numFmtId="49" fontId="3" fillId="0" borderId="2" xfId="0" applyNumberFormat="1" applyFont="1" applyFill="1" applyBorder="1" applyAlignment="1" applyProtection="1">
      <protection hidden="1"/>
    </xf>
    <xf numFmtId="0" fontId="5" fillId="3" borderId="42" xfId="0" applyFont="1" applyFill="1" applyBorder="1" applyAlignment="1" applyProtection="1">
      <alignment horizontal="center" wrapText="1"/>
      <protection hidden="1"/>
    </xf>
    <xf numFmtId="0" fontId="2" fillId="0" borderId="0" xfId="0" applyFont="1" applyBorder="1" applyProtection="1">
      <protection locked="0"/>
    </xf>
    <xf numFmtId="165" fontId="2" fillId="0" borderId="0" xfId="0" applyNumberFormat="1" applyFont="1" applyBorder="1" applyProtection="1">
      <protection locked="0"/>
    </xf>
    <xf numFmtId="0" fontId="2" fillId="0" borderId="0" xfId="0" applyFont="1" applyBorder="1" applyAlignment="1" applyProtection="1">
      <alignment horizontal="left"/>
      <protection locked="0"/>
    </xf>
    <xf numFmtId="165" fontId="2" fillId="0" borderId="0" xfId="0" applyNumberFormat="1" applyFont="1" applyBorder="1" applyAlignment="1" applyProtection="1">
      <alignment horizontal="center"/>
      <protection locked="0"/>
    </xf>
    <xf numFmtId="0" fontId="2" fillId="0" borderId="0" xfId="0" applyFont="1" applyBorder="1" applyAlignment="1" applyProtection="1">
      <alignment horizontal="center"/>
      <protection locked="0"/>
    </xf>
    <xf numFmtId="165" fontId="3" fillId="0" borderId="0" xfId="0" applyNumberFormat="1" applyFont="1" applyAlignment="1" applyProtection="1">
      <alignment horizontal="center"/>
      <protection locked="0"/>
    </xf>
    <xf numFmtId="0" fontId="2" fillId="0" borderId="44" xfId="0" applyFont="1" applyBorder="1" applyProtection="1">
      <protection locked="0"/>
    </xf>
    <xf numFmtId="165" fontId="2" fillId="0" borderId="44" xfId="0" applyNumberFormat="1" applyFont="1" applyBorder="1" applyProtection="1">
      <protection locked="0"/>
    </xf>
    <xf numFmtId="165" fontId="2" fillId="0" borderId="38" xfId="0" applyNumberFormat="1" applyFont="1" applyBorder="1" applyProtection="1">
      <protection locked="0"/>
    </xf>
    <xf numFmtId="165" fontId="3" fillId="0" borderId="0" xfId="0" applyNumberFormat="1" applyFont="1" applyAlignment="1" applyProtection="1">
      <alignment horizontal="left"/>
      <protection locked="0"/>
    </xf>
    <xf numFmtId="165" fontId="3" fillId="0" borderId="16" xfId="0" applyNumberFormat="1" applyFont="1" applyBorder="1" applyAlignment="1" applyProtection="1">
      <protection locked="0"/>
    </xf>
    <xf numFmtId="165" fontId="2" fillId="0" borderId="16" xfId="0" applyNumberFormat="1" applyFont="1" applyBorder="1" applyAlignment="1" applyProtection="1">
      <protection locked="0"/>
    </xf>
    <xf numFmtId="49" fontId="2" fillId="0" borderId="13" xfId="0" applyNumberFormat="1" applyFont="1" applyBorder="1" applyAlignment="1" applyProtection="1">
      <alignment horizontal="center"/>
      <protection hidden="1"/>
    </xf>
    <xf numFmtId="49" fontId="2" fillId="3" borderId="46" xfId="0" applyNumberFormat="1" applyFont="1" applyFill="1" applyBorder="1" applyAlignment="1" applyProtection="1">
      <alignment horizontal="center"/>
      <protection hidden="1"/>
    </xf>
    <xf numFmtId="0" fontId="2" fillId="3" borderId="34" xfId="0" applyFont="1" applyFill="1" applyBorder="1" applyProtection="1">
      <protection hidden="1"/>
    </xf>
    <xf numFmtId="0" fontId="3" fillId="3" borderId="34" xfId="0" applyFont="1" applyFill="1" applyBorder="1" applyAlignment="1" applyProtection="1">
      <alignment horizontal="center"/>
      <protection hidden="1"/>
    </xf>
    <xf numFmtId="49" fontId="3" fillId="0" borderId="36" xfId="0" applyNumberFormat="1" applyFont="1" applyBorder="1" applyAlignment="1" applyProtection="1">
      <protection hidden="1"/>
    </xf>
    <xf numFmtId="1" fontId="3" fillId="0" borderId="2" xfId="0" applyNumberFormat="1" applyFont="1" applyBorder="1" applyAlignment="1" applyProtection="1">
      <alignment horizontal="center" wrapText="1"/>
      <protection hidden="1"/>
    </xf>
    <xf numFmtId="43" fontId="3" fillId="0" borderId="2" xfId="0" applyNumberFormat="1" applyFont="1" applyFill="1" applyBorder="1" applyAlignment="1" applyProtection="1">
      <alignment horizontal="right"/>
      <protection hidden="1"/>
    </xf>
    <xf numFmtId="0" fontId="2" fillId="0" borderId="15" xfId="0" applyFont="1" applyBorder="1" applyProtection="1">
      <protection locked="0"/>
    </xf>
    <xf numFmtId="1" fontId="3" fillId="0" borderId="15" xfId="0" applyNumberFormat="1" applyFont="1" applyBorder="1" applyAlignment="1" applyProtection="1">
      <alignment horizontal="center" wrapText="1"/>
      <protection hidden="1"/>
    </xf>
    <xf numFmtId="43" fontId="2" fillId="0" borderId="15" xfId="0" applyNumberFormat="1" applyFont="1" applyBorder="1" applyAlignment="1" applyProtection="1">
      <alignment horizontal="right"/>
      <protection locked="0"/>
    </xf>
    <xf numFmtId="43" fontId="3" fillId="0" borderId="15" xfId="0" applyNumberFormat="1" applyFont="1" applyBorder="1" applyAlignment="1" applyProtection="1">
      <alignment horizontal="right"/>
      <protection locked="0"/>
    </xf>
    <xf numFmtId="43" fontId="3" fillId="0" borderId="15" xfId="0" applyNumberFormat="1" applyFont="1" applyBorder="1" applyAlignment="1" applyProtection="1">
      <alignment horizontal="right"/>
      <protection hidden="1"/>
    </xf>
    <xf numFmtId="49" fontId="3" fillId="0" borderId="2" xfId="0" applyNumberFormat="1" applyFont="1" applyBorder="1" applyAlignment="1" applyProtection="1">
      <protection hidden="1"/>
    </xf>
    <xf numFmtId="49" fontId="3" fillId="0" borderId="15" xfId="0" applyNumberFormat="1" applyFont="1" applyBorder="1" applyAlignment="1" applyProtection="1">
      <alignment horizontal="left"/>
      <protection locked="0"/>
    </xf>
    <xf numFmtId="49" fontId="3" fillId="0" borderId="15" xfId="0" applyNumberFormat="1" applyFont="1" applyFill="1" applyBorder="1" applyAlignment="1" applyProtection="1">
      <protection hidden="1"/>
    </xf>
    <xf numFmtId="49" fontId="3" fillId="0" borderId="1" xfId="0" applyNumberFormat="1" applyFont="1" applyBorder="1" applyProtection="1">
      <protection locked="0"/>
    </xf>
    <xf numFmtId="0" fontId="2" fillId="3" borderId="46" xfId="0" applyFont="1" applyFill="1" applyBorder="1" applyProtection="1">
      <protection hidden="1"/>
    </xf>
    <xf numFmtId="0" fontId="2" fillId="0" borderId="49" xfId="0" applyFont="1" applyBorder="1" applyProtection="1">
      <protection hidden="1"/>
    </xf>
    <xf numFmtId="165" fontId="3" fillId="0" borderId="9" xfId="0" applyNumberFormat="1" applyFont="1" applyBorder="1" applyAlignment="1" applyProtection="1">
      <alignment horizontal="center" vertical="center" wrapText="1"/>
      <protection locked="0"/>
    </xf>
    <xf numFmtId="165" fontId="3" fillId="0" borderId="24" xfId="0" applyNumberFormat="1" applyFont="1" applyBorder="1" applyAlignment="1" applyProtection="1">
      <alignment horizontal="center" vertical="center" wrapText="1"/>
      <protection locked="0"/>
    </xf>
    <xf numFmtId="49" fontId="3" fillId="0" borderId="30" xfId="0" applyNumberFormat="1" applyFont="1" applyFill="1" applyBorder="1" applyAlignment="1" applyProtection="1">
      <protection hidden="1"/>
    </xf>
    <xf numFmtId="49" fontId="3" fillId="0" borderId="50" xfId="0" applyNumberFormat="1" applyFont="1" applyBorder="1" applyProtection="1">
      <protection locked="0"/>
    </xf>
    <xf numFmtId="49" fontId="2" fillId="0" borderId="51" xfId="0" applyNumberFormat="1" applyFont="1" applyBorder="1" applyAlignment="1" applyProtection="1">
      <alignment horizontal="center"/>
      <protection locked="0"/>
    </xf>
    <xf numFmtId="165" fontId="14" fillId="0" borderId="23" xfId="0" applyNumberFormat="1" applyFont="1" applyBorder="1" applyAlignment="1" applyProtection="1">
      <alignment horizontal="center" vertical="center" wrapText="1"/>
      <protection hidden="1"/>
    </xf>
    <xf numFmtId="165" fontId="4" fillId="0" borderId="54" xfId="0" applyNumberFormat="1" applyFont="1" applyBorder="1" applyAlignment="1" applyProtection="1">
      <alignment horizontal="center" vertical="center" wrapText="1"/>
      <protection hidden="1"/>
    </xf>
    <xf numFmtId="49" fontId="15" fillId="0" borderId="0" xfId="0" applyNumberFormat="1" applyFont="1" applyAlignment="1" applyProtection="1">
      <alignment horizontal="center"/>
      <protection hidden="1"/>
    </xf>
    <xf numFmtId="165" fontId="17" fillId="0" borderId="0" xfId="0" applyNumberFormat="1" applyFont="1" applyAlignment="1" applyProtection="1">
      <alignment horizontal="right"/>
      <protection locked="0"/>
    </xf>
    <xf numFmtId="165" fontId="18" fillId="0" borderId="28" xfId="0" applyNumberFormat="1" applyFont="1" applyBorder="1" applyAlignment="1" applyProtection="1">
      <alignment horizontal="center" vertical="center" wrapText="1"/>
      <protection locked="0"/>
    </xf>
    <xf numFmtId="4" fontId="13" fillId="4" borderId="28" xfId="0" applyNumberFormat="1" applyFont="1" applyFill="1" applyBorder="1" applyAlignment="1" applyProtection="1">
      <alignment horizontal="right" vertical="center" wrapText="1"/>
      <protection hidden="1"/>
    </xf>
    <xf numFmtId="4" fontId="13" fillId="4" borderId="14" xfId="0" applyNumberFormat="1" applyFont="1" applyFill="1" applyBorder="1" applyAlignment="1" applyProtection="1">
      <alignment horizontal="right" vertical="center" wrapText="1"/>
      <protection hidden="1"/>
    </xf>
    <xf numFmtId="4" fontId="13" fillId="0" borderId="28" xfId="0" applyNumberFormat="1" applyFont="1" applyBorder="1" applyAlignment="1" applyProtection="1">
      <alignment horizontal="right" vertical="center" wrapText="1"/>
      <protection locked="0"/>
    </xf>
    <xf numFmtId="4" fontId="18" fillId="0" borderId="17" xfId="0" applyNumberFormat="1" applyFont="1" applyBorder="1" applyAlignment="1" applyProtection="1">
      <alignment horizontal="right" vertical="center" wrapText="1"/>
      <protection locked="0"/>
    </xf>
    <xf numFmtId="4" fontId="13" fillId="0" borderId="14" xfId="0" applyNumberFormat="1" applyFont="1" applyBorder="1" applyAlignment="1" applyProtection="1">
      <alignment horizontal="right" vertical="center" wrapText="1"/>
      <protection locked="0"/>
    </xf>
    <xf numFmtId="165" fontId="13" fillId="2" borderId="5" xfId="0" quotePrefix="1" applyNumberFormat="1" applyFont="1" applyFill="1" applyBorder="1" applyAlignment="1" applyProtection="1">
      <alignment horizontal="center" vertical="center"/>
      <protection hidden="1"/>
    </xf>
    <xf numFmtId="165" fontId="13" fillId="2" borderId="6" xfId="0" quotePrefix="1" applyNumberFormat="1" applyFont="1" applyFill="1" applyBorder="1" applyAlignment="1" applyProtection="1">
      <alignment horizontal="center" vertical="center"/>
      <protection hidden="1"/>
    </xf>
    <xf numFmtId="165" fontId="13" fillId="2" borderId="9" xfId="0" quotePrefix="1" applyNumberFormat="1" applyFont="1" applyFill="1" applyBorder="1" applyAlignment="1" applyProtection="1">
      <alignment horizontal="center" vertical="center"/>
      <protection hidden="1"/>
    </xf>
    <xf numFmtId="165" fontId="13" fillId="2" borderId="10" xfId="0" quotePrefix="1" applyNumberFormat="1" applyFont="1" applyFill="1" applyBorder="1" applyAlignment="1" applyProtection="1">
      <alignment horizontal="center" vertical="center"/>
      <protection hidden="1"/>
    </xf>
    <xf numFmtId="165" fontId="3" fillId="3" borderId="6" xfId="0" applyNumberFormat="1" applyFont="1" applyFill="1" applyBorder="1" applyAlignment="1" applyProtection="1">
      <alignment horizontal="center" vertical="center" wrapText="1"/>
      <protection hidden="1"/>
    </xf>
    <xf numFmtId="165" fontId="3" fillId="3" borderId="16" xfId="0" applyNumberFormat="1" applyFont="1" applyFill="1" applyBorder="1" applyAlignment="1" applyProtection="1">
      <alignment horizontal="center" vertical="center" wrapText="1"/>
      <protection hidden="1"/>
    </xf>
    <xf numFmtId="165" fontId="3" fillId="3" borderId="10" xfId="0" applyNumberFormat="1" applyFont="1" applyFill="1" applyBorder="1" applyAlignment="1" applyProtection="1">
      <alignment horizontal="center" vertical="center" wrapText="1"/>
      <protection hidden="1"/>
    </xf>
    <xf numFmtId="165" fontId="3" fillId="0" borderId="1" xfId="0" applyNumberFormat="1" applyFont="1" applyBorder="1" applyAlignment="1" applyProtection="1">
      <alignment horizontal="center"/>
      <protection locked="0"/>
    </xf>
    <xf numFmtId="165" fontId="3" fillId="0" borderId="45" xfId="0" applyNumberFormat="1" applyFont="1" applyBorder="1" applyAlignment="1" applyProtection="1">
      <alignment horizontal="center"/>
      <protection locked="0"/>
    </xf>
    <xf numFmtId="165" fontId="2" fillId="0" borderId="0" xfId="0" applyNumberFormat="1" applyFont="1" applyBorder="1" applyAlignment="1" applyProtection="1">
      <alignment horizontal="center"/>
      <protection locked="0"/>
    </xf>
    <xf numFmtId="165" fontId="2" fillId="2" borderId="19" xfId="0" applyNumberFormat="1" applyFont="1" applyFill="1" applyBorder="1" applyAlignment="1" applyProtection="1">
      <alignment horizontal="center" vertical="center" wrapText="1"/>
      <protection hidden="1"/>
    </xf>
    <xf numFmtId="165" fontId="2" fillId="2" borderId="22" xfId="0" applyNumberFormat="1" applyFont="1" applyFill="1" applyBorder="1" applyAlignment="1" applyProtection="1">
      <alignment horizontal="center" vertical="center" wrapText="1"/>
      <protection hidden="1"/>
    </xf>
    <xf numFmtId="165" fontId="2" fillId="2" borderId="20" xfId="0" applyNumberFormat="1" applyFont="1" applyFill="1" applyBorder="1" applyAlignment="1" applyProtection="1">
      <alignment horizontal="center" vertical="center" wrapText="1"/>
      <protection hidden="1"/>
    </xf>
    <xf numFmtId="165" fontId="2" fillId="2" borderId="25" xfId="0" applyNumberFormat="1" applyFont="1" applyFill="1" applyBorder="1" applyAlignment="1" applyProtection="1">
      <alignment horizontal="center" vertical="center" wrapText="1"/>
      <protection hidden="1"/>
    </xf>
    <xf numFmtId="165" fontId="2" fillId="2" borderId="11" xfId="0" applyNumberFormat="1" applyFont="1" applyFill="1" applyBorder="1" applyAlignment="1" applyProtection="1">
      <alignment horizontal="center" vertical="center" wrapText="1"/>
      <protection hidden="1"/>
    </xf>
    <xf numFmtId="165" fontId="2" fillId="2" borderId="17" xfId="0" applyNumberFormat="1" applyFont="1" applyFill="1" applyBorder="1" applyAlignment="1" applyProtection="1">
      <alignment horizontal="center" vertical="center" wrapText="1"/>
      <protection hidden="1"/>
    </xf>
    <xf numFmtId="165" fontId="12" fillId="2" borderId="44" xfId="0" quotePrefix="1" applyNumberFormat="1" applyFont="1" applyFill="1" applyBorder="1" applyAlignment="1" applyProtection="1">
      <alignment horizontal="left" vertical="center" wrapText="1"/>
      <protection hidden="1"/>
    </xf>
    <xf numFmtId="165" fontId="12" fillId="2" borderId="38" xfId="0" quotePrefix="1" applyNumberFormat="1" applyFont="1" applyFill="1" applyBorder="1" applyAlignment="1" applyProtection="1">
      <alignment horizontal="left" vertical="center" wrapText="1"/>
      <protection hidden="1"/>
    </xf>
    <xf numFmtId="165" fontId="2" fillId="2" borderId="12" xfId="0" applyNumberFormat="1" applyFont="1" applyFill="1" applyBorder="1" applyAlignment="1" applyProtection="1">
      <alignment horizontal="center" vertical="center" wrapText="1"/>
      <protection hidden="1"/>
    </xf>
    <xf numFmtId="165" fontId="2" fillId="2" borderId="18" xfId="0" applyNumberFormat="1" applyFont="1" applyFill="1" applyBorder="1" applyAlignment="1" applyProtection="1">
      <alignment horizontal="center" vertical="center" wrapText="1"/>
      <protection hidden="1"/>
    </xf>
    <xf numFmtId="165" fontId="13" fillId="2" borderId="13" xfId="0" applyNumberFormat="1" applyFont="1" applyFill="1" applyBorder="1" applyAlignment="1" applyProtection="1">
      <alignment horizontal="center" vertical="center"/>
      <protection hidden="1"/>
    </xf>
    <xf numFmtId="165" fontId="13" fillId="2" borderId="1" xfId="0" applyNumberFormat="1" applyFont="1" applyFill="1" applyBorder="1" applyAlignment="1" applyProtection="1">
      <alignment horizontal="center" vertical="center"/>
      <protection hidden="1"/>
    </xf>
    <xf numFmtId="165" fontId="13" fillId="2" borderId="14" xfId="0" applyNumberFormat="1" applyFont="1" applyFill="1" applyBorder="1" applyAlignment="1" applyProtection="1">
      <alignment horizontal="center" vertical="center"/>
      <protection hidden="1"/>
    </xf>
    <xf numFmtId="165" fontId="2" fillId="2" borderId="16" xfId="0" applyNumberFormat="1" applyFont="1" applyFill="1" applyBorder="1" applyAlignment="1" applyProtection="1">
      <alignment horizontal="center" vertical="center"/>
      <protection hidden="1"/>
    </xf>
    <xf numFmtId="165" fontId="2" fillId="2" borderId="10" xfId="0" applyNumberFormat="1" applyFont="1" applyFill="1" applyBorder="1" applyAlignment="1" applyProtection="1">
      <alignment horizontal="center" vertical="center"/>
      <protection hidden="1"/>
    </xf>
    <xf numFmtId="0" fontId="13" fillId="4" borderId="47" xfId="0" applyFont="1" applyFill="1" applyBorder="1" applyAlignment="1" applyProtection="1">
      <alignment horizontal="left" vertical="center"/>
      <protection hidden="1"/>
    </xf>
    <xf numFmtId="0" fontId="13" fillId="4" borderId="48" xfId="0" applyFont="1" applyFill="1" applyBorder="1" applyAlignment="1" applyProtection="1">
      <alignment horizontal="left" vertical="center"/>
      <protection hidden="1"/>
    </xf>
    <xf numFmtId="0" fontId="13" fillId="4" borderId="49" xfId="0" applyFont="1" applyFill="1" applyBorder="1" applyAlignment="1" applyProtection="1">
      <alignment horizontal="left" vertical="center"/>
      <protection hidden="1"/>
    </xf>
    <xf numFmtId="49" fontId="13" fillId="0" borderId="15" xfId="0" applyNumberFormat="1" applyFont="1" applyBorder="1" applyAlignment="1" applyProtection="1">
      <alignment horizontal="left"/>
      <protection locked="0"/>
    </xf>
    <xf numFmtId="49" fontId="16" fillId="0" borderId="0" xfId="0" applyNumberFormat="1" applyFont="1" applyAlignment="1" applyProtection="1">
      <alignment horizontal="center"/>
      <protection hidden="1"/>
    </xf>
    <xf numFmtId="0" fontId="3" fillId="0" borderId="1" xfId="0" applyFont="1" applyBorder="1" applyAlignment="1" applyProtection="1">
      <alignment horizontal="left"/>
      <protection locked="0"/>
    </xf>
    <xf numFmtId="165" fontId="3" fillId="0" borderId="1" xfId="0" applyNumberFormat="1" applyFont="1" applyBorder="1" applyAlignment="1" applyProtection="1">
      <alignment horizontal="left"/>
      <protection locked="0"/>
    </xf>
    <xf numFmtId="49" fontId="3" fillId="0" borderId="1" xfId="0" applyNumberFormat="1" applyFont="1" applyBorder="1" applyAlignment="1" applyProtection="1">
      <alignment horizontal="left"/>
      <protection locked="0"/>
    </xf>
    <xf numFmtId="165" fontId="3" fillId="0" borderId="2" xfId="0" applyNumberFormat="1" applyFont="1" applyBorder="1" applyAlignment="1" applyProtection="1">
      <alignment horizontal="left"/>
      <protection locked="0"/>
    </xf>
    <xf numFmtId="49" fontId="13" fillId="2" borderId="3" xfId="0" applyNumberFormat="1" applyFont="1" applyFill="1" applyBorder="1" applyAlignment="1" applyProtection="1">
      <alignment horizontal="center" vertical="center" wrapText="1"/>
      <protection hidden="1"/>
    </xf>
    <xf numFmtId="49" fontId="13" fillId="2" borderId="7" xfId="0" applyNumberFormat="1" applyFont="1" applyFill="1" applyBorder="1" applyAlignment="1" applyProtection="1">
      <alignment horizontal="center" vertical="center" wrapText="1"/>
      <protection hidden="1"/>
    </xf>
    <xf numFmtId="49" fontId="13" fillId="2" borderId="21" xfId="0" applyNumberFormat="1" applyFont="1" applyFill="1" applyBorder="1" applyAlignment="1" applyProtection="1">
      <alignment horizontal="center" vertical="center" wrapText="1"/>
      <protection hidden="1"/>
    </xf>
    <xf numFmtId="0" fontId="13" fillId="2" borderId="3" xfId="0" applyFont="1" applyFill="1" applyBorder="1" applyAlignment="1" applyProtection="1">
      <alignment horizontal="center" vertical="center" wrapText="1"/>
      <protection hidden="1"/>
    </xf>
    <xf numFmtId="0" fontId="13" fillId="2" borderId="7" xfId="0" applyFont="1" applyFill="1" applyBorder="1" applyAlignment="1" applyProtection="1">
      <alignment horizontal="center" vertical="center" wrapText="1"/>
      <protection hidden="1"/>
    </xf>
    <xf numFmtId="0" fontId="13" fillId="2" borderId="21" xfId="0" applyFont="1" applyFill="1" applyBorder="1" applyAlignment="1" applyProtection="1">
      <alignment horizontal="center" vertical="center" wrapText="1"/>
      <protection hidden="1"/>
    </xf>
    <xf numFmtId="165" fontId="13" fillId="2" borderId="4" xfId="0" applyNumberFormat="1" applyFont="1" applyFill="1" applyBorder="1" applyAlignment="1" applyProtection="1">
      <alignment horizontal="center" vertical="center"/>
      <protection hidden="1"/>
    </xf>
    <xf numFmtId="165" fontId="13" fillId="2" borderId="5" xfId="0" applyNumberFormat="1" applyFont="1" applyFill="1" applyBorder="1" applyAlignment="1" applyProtection="1">
      <alignment horizontal="center" vertical="center"/>
      <protection hidden="1"/>
    </xf>
    <xf numFmtId="165" fontId="13" fillId="2" borderId="6" xfId="0" applyNumberFormat="1" applyFont="1" applyFill="1" applyBorder="1" applyAlignment="1" applyProtection="1">
      <alignment horizontal="center" vertical="center"/>
      <protection hidden="1"/>
    </xf>
    <xf numFmtId="165" fontId="3" fillId="2" borderId="8" xfId="0" quotePrefix="1" applyNumberFormat="1" applyFont="1" applyFill="1" applyBorder="1" applyAlignment="1" applyProtection="1">
      <alignment horizontal="center" vertical="center"/>
      <protection hidden="1"/>
    </xf>
    <xf numFmtId="165" fontId="3" fillId="2" borderId="9" xfId="0" quotePrefix="1" applyNumberFormat="1" applyFont="1" applyFill="1" applyBorder="1" applyAlignment="1" applyProtection="1">
      <alignment horizontal="center" vertical="center"/>
      <protection hidden="1"/>
    </xf>
    <xf numFmtId="165" fontId="3" fillId="2" borderId="10" xfId="0" quotePrefix="1" applyNumberFormat="1" applyFont="1" applyFill="1" applyBorder="1" applyAlignment="1" applyProtection="1">
      <alignment horizontal="center" vertical="center"/>
      <protection hidden="1"/>
    </xf>
    <xf numFmtId="165" fontId="2" fillId="2" borderId="37" xfId="0" applyNumberFormat="1" applyFont="1" applyFill="1" applyBorder="1" applyAlignment="1" applyProtection="1">
      <alignment horizontal="center" vertical="center" wrapText="1"/>
      <protection hidden="1"/>
    </xf>
    <xf numFmtId="165" fontId="2" fillId="2" borderId="44" xfId="0" applyNumberFormat="1" applyFont="1" applyFill="1" applyBorder="1" applyAlignment="1" applyProtection="1">
      <alignment horizontal="center" vertical="center" wrapText="1"/>
      <protection hidden="1"/>
    </xf>
    <xf numFmtId="165" fontId="2" fillId="2" borderId="38" xfId="0" applyNumberFormat="1" applyFont="1" applyFill="1" applyBorder="1" applyAlignment="1" applyProtection="1">
      <alignment horizontal="center" vertical="center" wrapText="1"/>
      <protection hidden="1"/>
    </xf>
    <xf numFmtId="165" fontId="2" fillId="2" borderId="5" xfId="0" applyNumberFormat="1" applyFont="1" applyFill="1" applyBorder="1" applyAlignment="1" applyProtection="1">
      <alignment horizontal="center" vertical="center" wrapText="1"/>
      <protection hidden="1"/>
    </xf>
    <xf numFmtId="165" fontId="2" fillId="2" borderId="1" xfId="0" applyNumberFormat="1" applyFont="1" applyFill="1" applyBorder="1" applyAlignment="1" applyProtection="1">
      <alignment horizontal="center" vertical="center" wrapText="1"/>
      <protection hidden="1"/>
    </xf>
    <xf numFmtId="165" fontId="13" fillId="2" borderId="3" xfId="0" applyNumberFormat="1" applyFont="1" applyFill="1" applyBorder="1" applyAlignment="1" applyProtection="1">
      <alignment horizontal="center" vertical="center" wrapText="1"/>
      <protection hidden="1"/>
    </xf>
    <xf numFmtId="165" fontId="13" fillId="2" borderId="21" xfId="0" applyNumberFormat="1" applyFont="1" applyFill="1" applyBorder="1" applyAlignment="1" applyProtection="1">
      <alignment horizontal="center" vertical="center" wrapText="1"/>
      <protection hidden="1"/>
    </xf>
    <xf numFmtId="165" fontId="13" fillId="2" borderId="52" xfId="0" applyNumberFormat="1" applyFont="1" applyFill="1" applyBorder="1" applyAlignment="1" applyProtection="1">
      <alignment horizontal="center" vertical="center" wrapText="1"/>
      <protection hidden="1"/>
    </xf>
    <xf numFmtId="165" fontId="13" fillId="2" borderId="53" xfId="0" applyNumberFormat="1" applyFont="1" applyFill="1" applyBorder="1" applyAlignment="1" applyProtection="1">
      <alignment horizontal="center" vertical="center" wrapText="1"/>
      <protection hidden="1"/>
    </xf>
    <xf numFmtId="165" fontId="13" fillId="4" borderId="3" xfId="0" applyNumberFormat="1" applyFont="1" applyFill="1" applyBorder="1" applyAlignment="1" applyProtection="1">
      <alignment horizontal="center" vertical="center"/>
      <protection hidden="1"/>
    </xf>
    <xf numFmtId="165" fontId="13" fillId="4" borderId="21" xfId="0" applyNumberFormat="1" applyFont="1" applyFill="1" applyBorder="1" applyAlignment="1" applyProtection="1">
      <alignment horizontal="center" vertical="center"/>
      <protection hidden="1"/>
    </xf>
    <xf numFmtId="0" fontId="3" fillId="0" borderId="0" xfId="0" applyFont="1" applyBorder="1" applyAlignment="1" applyProtection="1">
      <alignment horizontal="left"/>
      <protection locked="0"/>
    </xf>
    <xf numFmtId="0" fontId="3" fillId="0" borderId="45" xfId="0" applyFont="1" applyBorder="1" applyAlignment="1" applyProtection="1">
      <alignment horizontal="center"/>
      <protection locked="0"/>
    </xf>
  </cellXfs>
  <cellStyles count="3">
    <cellStyle name="Comma" xfId="1" builtinId="3"/>
    <cellStyle name="Normal" xfId="0" builtinId="0"/>
    <cellStyle name="Normal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aac/Downloads/CiBR-Cash%20in%20Bank%20Register%20for%20Online%20System.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Chart of Accounts (2)"/>
      <sheetName val="Chart of Accounts"/>
      <sheetName val="CDR Sheet 1"/>
      <sheetName val="CDR Sheet 2"/>
      <sheetName val="Sheet1"/>
      <sheetName val="CDR Sheet 7"/>
      <sheetName val="Sheet3"/>
    </sheetNames>
    <sheetDataSet>
      <sheetData sheetId="0" refreshError="1"/>
      <sheetData sheetId="1" refreshError="1">
        <row r="1">
          <cell r="A1" t="str">
            <v>Traveling Expenses - Local</v>
          </cell>
          <cell r="B1" t="str">
            <v>5020101000</v>
          </cell>
        </row>
        <row r="2">
          <cell r="A2" t="str">
            <v>Traveling Expenses - Foreign</v>
          </cell>
          <cell r="B2" t="str">
            <v>5020102000</v>
          </cell>
        </row>
        <row r="3">
          <cell r="A3" t="str">
            <v>Training Expenses</v>
          </cell>
          <cell r="B3" t="str">
            <v>5020201000</v>
          </cell>
        </row>
        <row r="4">
          <cell r="A4" t="str">
            <v>Scholarship Grants/Expenses</v>
          </cell>
          <cell r="B4">
            <v>5020202000</v>
          </cell>
        </row>
        <row r="5">
          <cell r="A5" t="str">
            <v>Office Supplies Expenses</v>
          </cell>
          <cell r="B5" t="str">
            <v>5020301000</v>
          </cell>
        </row>
        <row r="6">
          <cell r="A6" t="str">
            <v>Accountable Forms Expenses</v>
          </cell>
          <cell r="B6" t="str">
            <v>5020302000</v>
          </cell>
        </row>
        <row r="7">
          <cell r="A7" t="str">
            <v>Food Supplies Expenses</v>
          </cell>
          <cell r="B7" t="str">
            <v>5020305000</v>
          </cell>
        </row>
        <row r="8">
          <cell r="A8" t="str">
            <v>Drugs and Medicines Expenses</v>
          </cell>
          <cell r="B8" t="str">
            <v>5020307000</v>
          </cell>
        </row>
        <row r="9">
          <cell r="A9" t="str">
            <v>Medical, Dental and Laboratory Supplies Expenses</v>
          </cell>
          <cell r="B9" t="str">
            <v>5020308000</v>
          </cell>
        </row>
        <row r="10">
          <cell r="A10" t="str">
            <v>Fuel, Oil and Lubricants Expenses</v>
          </cell>
          <cell r="B10" t="str">
            <v>5020309000</v>
          </cell>
        </row>
        <row r="11">
          <cell r="A11" t="str">
            <v>Textbooks and Instructional Materials Expenses</v>
          </cell>
          <cell r="B11" t="str">
            <v>5020311000</v>
          </cell>
        </row>
        <row r="12">
          <cell r="A12" t="str">
            <v>Semi-Expendable Machinery and Equipment Expenses</v>
          </cell>
          <cell r="B12" t="str">
            <v>5020321000</v>
          </cell>
        </row>
        <row r="13">
          <cell r="A13" t="str">
            <v>Semi-Expendable Furniture, Fixtures and Books Expenses</v>
          </cell>
          <cell r="B13" t="str">
            <v>5020322000</v>
          </cell>
        </row>
        <row r="14">
          <cell r="A14" t="str">
            <v>Other Supplies and Materials Expenses</v>
          </cell>
          <cell r="B14" t="str">
            <v>5020399000</v>
          </cell>
        </row>
        <row r="15">
          <cell r="A15" t="str">
            <v>Water Expenses</v>
          </cell>
          <cell r="B15" t="str">
            <v>5020401000</v>
          </cell>
        </row>
        <row r="16">
          <cell r="A16" t="str">
            <v>Electricity Expenses</v>
          </cell>
          <cell r="B16" t="str">
            <v>5020402000</v>
          </cell>
        </row>
        <row r="17">
          <cell r="A17" t="str">
            <v>Postage and Courier Services</v>
          </cell>
          <cell r="B17" t="str">
            <v>5020501000</v>
          </cell>
        </row>
        <row r="18">
          <cell r="A18" t="str">
            <v>Telephone Expenses</v>
          </cell>
          <cell r="B18" t="str">
            <v>5020502000</v>
          </cell>
        </row>
        <row r="19">
          <cell r="A19" t="str">
            <v>Internet Subscription Expenses</v>
          </cell>
          <cell r="B19" t="str">
            <v>5020503000</v>
          </cell>
        </row>
        <row r="20">
          <cell r="A20" t="str">
            <v>Awards/Rewards Expenses</v>
          </cell>
          <cell r="B20" t="str">
            <v>5020601000</v>
          </cell>
        </row>
        <row r="21">
          <cell r="A21" t="str">
            <v>Auditing Services</v>
          </cell>
          <cell r="B21" t="str">
            <v>5021102000</v>
          </cell>
        </row>
        <row r="22">
          <cell r="A22" t="str">
            <v>Other Professional Services</v>
          </cell>
          <cell r="B22" t="str">
            <v>5021199000</v>
          </cell>
        </row>
        <row r="23">
          <cell r="A23" t="str">
            <v>Janitorial Services</v>
          </cell>
          <cell r="B23" t="str">
            <v>5021202000</v>
          </cell>
        </row>
        <row r="24">
          <cell r="A24" t="str">
            <v>Security Services</v>
          </cell>
          <cell r="B24" t="str">
            <v>5021203000</v>
          </cell>
        </row>
        <row r="25">
          <cell r="A25" t="str">
            <v>Other General Services</v>
          </cell>
          <cell r="B25" t="str">
            <v>5021299000</v>
          </cell>
        </row>
        <row r="26">
          <cell r="A26" t="str">
            <v>Repairs and Maintenance - Buildings and Other Structures</v>
          </cell>
          <cell r="B26" t="str">
            <v>5021304000</v>
          </cell>
        </row>
        <row r="27">
          <cell r="A27" t="str">
            <v>Repairs and Maintenance - Machinery and Equipment</v>
          </cell>
          <cell r="B27" t="str">
            <v>5021305000</v>
          </cell>
        </row>
        <row r="28">
          <cell r="A28" t="str">
            <v>Repairs and Maintenance-Semi-Expendable Machinery and Equipment</v>
          </cell>
          <cell r="B28" t="str">
            <v>5021321000</v>
          </cell>
        </row>
        <row r="29">
          <cell r="A29" t="str">
            <v>Repairs and Maintenance-Semi-Expendable Furniture, Fixtures and Books</v>
          </cell>
          <cell r="B29" t="str">
            <v>5021322000</v>
          </cell>
        </row>
        <row r="30">
          <cell r="A30" t="str">
            <v>Fidelity Bond Premiums</v>
          </cell>
          <cell r="B30" t="str">
            <v>5021502000</v>
          </cell>
        </row>
        <row r="31">
          <cell r="A31" t="str">
            <v>Insurance Expenses</v>
          </cell>
          <cell r="B31" t="str">
            <v>5021503000</v>
          </cell>
        </row>
        <row r="32">
          <cell r="A32" t="str">
            <v>Printing and Publication Expenses</v>
          </cell>
          <cell r="B32" t="str">
            <v>5029902000</v>
          </cell>
        </row>
        <row r="33">
          <cell r="A33" t="str">
            <v>Rent/Lease Expenses</v>
          </cell>
          <cell r="B33" t="str">
            <v>5029905000</v>
          </cell>
        </row>
        <row r="34">
          <cell r="A34" t="str">
            <v>Subscription Expenses</v>
          </cell>
          <cell r="B34" t="str">
            <v>5029907000</v>
          </cell>
        </row>
        <row r="35">
          <cell r="A35" t="str">
            <v>Other Maintenance and Operating Expenses</v>
          </cell>
          <cell r="B35" t="str">
            <v>5029999000</v>
          </cell>
        </row>
      </sheetData>
      <sheetData sheetId="2" refreshError="1">
        <row r="35">
          <cell r="J35">
            <v>0</v>
          </cell>
          <cell r="K35">
            <v>0</v>
          </cell>
          <cell r="L35">
            <v>0</v>
          </cell>
          <cell r="M35">
            <v>0</v>
          </cell>
          <cell r="N35">
            <v>0</v>
          </cell>
          <cell r="O35">
            <v>0</v>
          </cell>
          <cell r="P35">
            <v>0</v>
          </cell>
        </row>
      </sheetData>
      <sheetData sheetId="3" refreshError="1"/>
      <sheetData sheetId="4" refreshError="1"/>
      <sheetData sheetId="5" refreshError="1"/>
      <sheetData sheetId="6"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BM100"/>
  <sheetViews>
    <sheetView tabSelected="1" view="pageBreakPreview" zoomScale="40" zoomScaleNormal="95" zoomScaleSheetLayoutView="40" workbookViewId="0">
      <selection activeCell="G32" sqref="G32"/>
    </sheetView>
  </sheetViews>
  <sheetFormatPr defaultColWidth="9.1875" defaultRowHeight="15"/>
  <cols>
    <col min="1" max="1" width="12.5" style="1" customWidth="1"/>
    <col min="2" max="2" width="10.5" style="2" customWidth="1"/>
    <col min="3" max="3" width="25" style="2" customWidth="1"/>
    <col min="4" max="4" width="23.6875" style="2" customWidth="1"/>
    <col min="5" max="5" width="17.1875" style="3" customWidth="1"/>
    <col min="6" max="6" width="16.3125" style="3" customWidth="1"/>
    <col min="7" max="7" width="16.5" style="3" customWidth="1"/>
    <col min="8" max="8" width="16.1875" style="3" customWidth="1"/>
    <col min="9" max="9" width="15.5" style="3" customWidth="1"/>
    <col min="10" max="10" width="15" style="3" customWidth="1"/>
    <col min="11" max="11" width="15.5" style="3" customWidth="1"/>
    <col min="12" max="12" width="15.3125" style="3" customWidth="1"/>
    <col min="13" max="13" width="16.5" style="3" customWidth="1"/>
    <col min="14" max="14" width="15.3125" style="3" customWidth="1"/>
    <col min="15" max="15" width="15" style="3" customWidth="1"/>
    <col min="16" max="16" width="15.5" style="3" customWidth="1"/>
    <col min="17" max="17" width="27.1875" style="3" customWidth="1"/>
    <col min="18" max="18" width="11.5" style="3" customWidth="1"/>
    <col min="19" max="19" width="19" style="3" customWidth="1"/>
    <col min="20" max="20" width="0" style="2" hidden="1" customWidth="1"/>
    <col min="21" max="31" width="9.1875" style="2" hidden="1" customWidth="1"/>
    <col min="32" max="32" width="16.5" style="2" hidden="1" customWidth="1"/>
    <col min="33" max="33" width="20.5" style="2" hidden="1" customWidth="1"/>
    <col min="34" max="35" width="0" style="2" hidden="1" customWidth="1"/>
    <col min="36" max="37" width="0" style="4" hidden="1" customWidth="1"/>
    <col min="38" max="54" width="9.1875" style="4"/>
    <col min="55" max="247" width="9.1875" style="2"/>
    <col min="248" max="248" width="12.5" style="2" customWidth="1"/>
    <col min="249" max="249" width="10.5" style="2" customWidth="1"/>
    <col min="250" max="250" width="25" style="2" customWidth="1"/>
    <col min="251" max="251" width="23.6875" style="2" customWidth="1"/>
    <col min="252" max="252" width="17.1875" style="2" customWidth="1"/>
    <col min="253" max="253" width="16.3125" style="2" customWidth="1"/>
    <col min="254" max="254" width="16.5" style="2" customWidth="1"/>
    <col min="255" max="255" width="16.1875" style="2" customWidth="1"/>
    <col min="256" max="256" width="15.5" style="2" customWidth="1"/>
    <col min="257" max="257" width="15" style="2" customWidth="1"/>
    <col min="258" max="258" width="15.5" style="2" customWidth="1"/>
    <col min="259" max="259" width="15.3125" style="2" customWidth="1"/>
    <col min="260" max="260" width="16.5" style="2" customWidth="1"/>
    <col min="261" max="261" width="15.3125" style="2" customWidth="1"/>
    <col min="262" max="262" width="15" style="2" customWidth="1"/>
    <col min="263" max="263" width="15.5" style="2" customWidth="1"/>
    <col min="264" max="264" width="27.1875" style="2" customWidth="1"/>
    <col min="265" max="265" width="11.5" style="2" customWidth="1"/>
    <col min="266" max="266" width="19" style="2" customWidth="1"/>
    <col min="267" max="268" width="0" style="2" hidden="1" customWidth="1"/>
    <col min="269" max="269" width="21" style="2" customWidth="1"/>
    <col min="270" max="273" width="0" style="2" hidden="1" customWidth="1"/>
    <col min="274" max="274" width="54.6875" style="2" customWidth="1"/>
    <col min="275" max="275" width="9.6875" style="2" customWidth="1"/>
    <col min="276" max="276" width="9.1875" style="2"/>
    <col min="277" max="289" width="0" style="2" hidden="1" customWidth="1"/>
    <col min="290" max="503" width="9.1875" style="2"/>
    <col min="504" max="504" width="12.5" style="2" customWidth="1"/>
    <col min="505" max="505" width="10.5" style="2" customWidth="1"/>
    <col min="506" max="506" width="25" style="2" customWidth="1"/>
    <col min="507" max="507" width="23.6875" style="2" customWidth="1"/>
    <col min="508" max="508" width="17.1875" style="2" customWidth="1"/>
    <col min="509" max="509" width="16.3125" style="2" customWidth="1"/>
    <col min="510" max="510" width="16.5" style="2" customWidth="1"/>
    <col min="511" max="511" width="16.1875" style="2" customWidth="1"/>
    <col min="512" max="512" width="15.5" style="2" customWidth="1"/>
    <col min="513" max="513" width="15" style="2" customWidth="1"/>
    <col min="514" max="514" width="15.5" style="2" customWidth="1"/>
    <col min="515" max="515" width="15.3125" style="2" customWidth="1"/>
    <col min="516" max="516" width="16.5" style="2" customWidth="1"/>
    <col min="517" max="517" width="15.3125" style="2" customWidth="1"/>
    <col min="518" max="518" width="15" style="2" customWidth="1"/>
    <col min="519" max="519" width="15.5" style="2" customWidth="1"/>
    <col min="520" max="520" width="27.1875" style="2" customWidth="1"/>
    <col min="521" max="521" width="11.5" style="2" customWidth="1"/>
    <col min="522" max="522" width="19" style="2" customWidth="1"/>
    <col min="523" max="524" width="0" style="2" hidden="1" customWidth="1"/>
    <col min="525" max="525" width="21" style="2" customWidth="1"/>
    <col min="526" max="529" width="0" style="2" hidden="1" customWidth="1"/>
    <col min="530" max="530" width="54.6875" style="2" customWidth="1"/>
    <col min="531" max="531" width="9.6875" style="2" customWidth="1"/>
    <col min="532" max="532" width="9.1875" style="2"/>
    <col min="533" max="545" width="0" style="2" hidden="1" customWidth="1"/>
    <col min="546" max="759" width="9.1875" style="2"/>
    <col min="760" max="760" width="12.5" style="2" customWidth="1"/>
    <col min="761" max="761" width="10.5" style="2" customWidth="1"/>
    <col min="762" max="762" width="25" style="2" customWidth="1"/>
    <col min="763" max="763" width="23.6875" style="2" customWidth="1"/>
    <col min="764" max="764" width="17.1875" style="2" customWidth="1"/>
    <col min="765" max="765" width="16.3125" style="2" customWidth="1"/>
    <col min="766" max="766" width="16.5" style="2" customWidth="1"/>
    <col min="767" max="767" width="16.1875" style="2" customWidth="1"/>
    <col min="768" max="768" width="15.5" style="2" customWidth="1"/>
    <col min="769" max="769" width="15" style="2" customWidth="1"/>
    <col min="770" max="770" width="15.5" style="2" customWidth="1"/>
    <col min="771" max="771" width="15.3125" style="2" customWidth="1"/>
    <col min="772" max="772" width="16.5" style="2" customWidth="1"/>
    <col min="773" max="773" width="15.3125" style="2" customWidth="1"/>
    <col min="774" max="774" width="15" style="2" customWidth="1"/>
    <col min="775" max="775" width="15.5" style="2" customWidth="1"/>
    <col min="776" max="776" width="27.1875" style="2" customWidth="1"/>
    <col min="777" max="777" width="11.5" style="2" customWidth="1"/>
    <col min="778" max="778" width="19" style="2" customWidth="1"/>
    <col min="779" max="780" width="0" style="2" hidden="1" customWidth="1"/>
    <col min="781" max="781" width="21" style="2" customWidth="1"/>
    <col min="782" max="785" width="0" style="2" hidden="1" customWidth="1"/>
    <col min="786" max="786" width="54.6875" style="2" customWidth="1"/>
    <col min="787" max="787" width="9.6875" style="2" customWidth="1"/>
    <col min="788" max="788" width="9.1875" style="2"/>
    <col min="789" max="801" width="0" style="2" hidden="1" customWidth="1"/>
    <col min="802" max="1015" width="9.1875" style="2"/>
    <col min="1016" max="1016" width="12.5" style="2" customWidth="1"/>
    <col min="1017" max="1017" width="10.5" style="2" customWidth="1"/>
    <col min="1018" max="1018" width="25" style="2" customWidth="1"/>
    <col min="1019" max="1019" width="23.6875" style="2" customWidth="1"/>
    <col min="1020" max="1020" width="17.1875" style="2" customWidth="1"/>
    <col min="1021" max="1021" width="16.3125" style="2" customWidth="1"/>
    <col min="1022" max="1022" width="16.5" style="2" customWidth="1"/>
    <col min="1023" max="1023" width="16.1875" style="2" customWidth="1"/>
    <col min="1024" max="1024" width="15.5" style="2" customWidth="1"/>
    <col min="1025" max="1025" width="15" style="2" customWidth="1"/>
    <col min="1026" max="1026" width="15.5" style="2" customWidth="1"/>
    <col min="1027" max="1027" width="15.3125" style="2" customWidth="1"/>
    <col min="1028" max="1028" width="16.5" style="2" customWidth="1"/>
    <col min="1029" max="1029" width="15.3125" style="2" customWidth="1"/>
    <col min="1030" max="1030" width="15" style="2" customWidth="1"/>
    <col min="1031" max="1031" width="15.5" style="2" customWidth="1"/>
    <col min="1032" max="1032" width="27.1875" style="2" customWidth="1"/>
    <col min="1033" max="1033" width="11.5" style="2" customWidth="1"/>
    <col min="1034" max="1034" width="19" style="2" customWidth="1"/>
    <col min="1035" max="1036" width="0" style="2" hidden="1" customWidth="1"/>
    <col min="1037" max="1037" width="21" style="2" customWidth="1"/>
    <col min="1038" max="1041" width="0" style="2" hidden="1" customWidth="1"/>
    <col min="1042" max="1042" width="54.6875" style="2" customWidth="1"/>
    <col min="1043" max="1043" width="9.6875" style="2" customWidth="1"/>
    <col min="1044" max="1044" width="9.1875" style="2"/>
    <col min="1045" max="1057" width="0" style="2" hidden="1" customWidth="1"/>
    <col min="1058" max="1271" width="9.1875" style="2"/>
    <col min="1272" max="1272" width="12.5" style="2" customWidth="1"/>
    <col min="1273" max="1273" width="10.5" style="2" customWidth="1"/>
    <col min="1274" max="1274" width="25" style="2" customWidth="1"/>
    <col min="1275" max="1275" width="23.6875" style="2" customWidth="1"/>
    <col min="1276" max="1276" width="17.1875" style="2" customWidth="1"/>
    <col min="1277" max="1277" width="16.3125" style="2" customWidth="1"/>
    <col min="1278" max="1278" width="16.5" style="2" customWidth="1"/>
    <col min="1279" max="1279" width="16.1875" style="2" customWidth="1"/>
    <col min="1280" max="1280" width="15.5" style="2" customWidth="1"/>
    <col min="1281" max="1281" width="15" style="2" customWidth="1"/>
    <col min="1282" max="1282" width="15.5" style="2" customWidth="1"/>
    <col min="1283" max="1283" width="15.3125" style="2" customWidth="1"/>
    <col min="1284" max="1284" width="16.5" style="2" customWidth="1"/>
    <col min="1285" max="1285" width="15.3125" style="2" customWidth="1"/>
    <col min="1286" max="1286" width="15" style="2" customWidth="1"/>
    <col min="1287" max="1287" width="15.5" style="2" customWidth="1"/>
    <col min="1288" max="1288" width="27.1875" style="2" customWidth="1"/>
    <col min="1289" max="1289" width="11.5" style="2" customWidth="1"/>
    <col min="1290" max="1290" width="19" style="2" customWidth="1"/>
    <col min="1291" max="1292" width="0" style="2" hidden="1" customWidth="1"/>
    <col min="1293" max="1293" width="21" style="2" customWidth="1"/>
    <col min="1294" max="1297" width="0" style="2" hidden="1" customWidth="1"/>
    <col min="1298" max="1298" width="54.6875" style="2" customWidth="1"/>
    <col min="1299" max="1299" width="9.6875" style="2" customWidth="1"/>
    <col min="1300" max="1300" width="9.1875" style="2"/>
    <col min="1301" max="1313" width="0" style="2" hidden="1" customWidth="1"/>
    <col min="1314" max="1527" width="9.1875" style="2"/>
    <col min="1528" max="1528" width="12.5" style="2" customWidth="1"/>
    <col min="1529" max="1529" width="10.5" style="2" customWidth="1"/>
    <col min="1530" max="1530" width="25" style="2" customWidth="1"/>
    <col min="1531" max="1531" width="23.6875" style="2" customWidth="1"/>
    <col min="1532" max="1532" width="17.1875" style="2" customWidth="1"/>
    <col min="1533" max="1533" width="16.3125" style="2" customWidth="1"/>
    <col min="1534" max="1534" width="16.5" style="2" customWidth="1"/>
    <col min="1535" max="1535" width="16.1875" style="2" customWidth="1"/>
    <col min="1536" max="1536" width="15.5" style="2" customWidth="1"/>
    <col min="1537" max="1537" width="15" style="2" customWidth="1"/>
    <col min="1538" max="1538" width="15.5" style="2" customWidth="1"/>
    <col min="1539" max="1539" width="15.3125" style="2" customWidth="1"/>
    <col min="1540" max="1540" width="16.5" style="2" customWidth="1"/>
    <col min="1541" max="1541" width="15.3125" style="2" customWidth="1"/>
    <col min="1542" max="1542" width="15" style="2" customWidth="1"/>
    <col min="1543" max="1543" width="15.5" style="2" customWidth="1"/>
    <col min="1544" max="1544" width="27.1875" style="2" customWidth="1"/>
    <col min="1545" max="1545" width="11.5" style="2" customWidth="1"/>
    <col min="1546" max="1546" width="19" style="2" customWidth="1"/>
    <col min="1547" max="1548" width="0" style="2" hidden="1" customWidth="1"/>
    <col min="1549" max="1549" width="21" style="2" customWidth="1"/>
    <col min="1550" max="1553" width="0" style="2" hidden="1" customWidth="1"/>
    <col min="1554" max="1554" width="54.6875" style="2" customWidth="1"/>
    <col min="1555" max="1555" width="9.6875" style="2" customWidth="1"/>
    <col min="1556" max="1556" width="9.1875" style="2"/>
    <col min="1557" max="1569" width="0" style="2" hidden="1" customWidth="1"/>
    <col min="1570" max="1783" width="9.1875" style="2"/>
    <col min="1784" max="1784" width="12.5" style="2" customWidth="1"/>
    <col min="1785" max="1785" width="10.5" style="2" customWidth="1"/>
    <col min="1786" max="1786" width="25" style="2" customWidth="1"/>
    <col min="1787" max="1787" width="23.6875" style="2" customWidth="1"/>
    <col min="1788" max="1788" width="17.1875" style="2" customWidth="1"/>
    <col min="1789" max="1789" width="16.3125" style="2" customWidth="1"/>
    <col min="1790" max="1790" width="16.5" style="2" customWidth="1"/>
    <col min="1791" max="1791" width="16.1875" style="2" customWidth="1"/>
    <col min="1792" max="1792" width="15.5" style="2" customWidth="1"/>
    <col min="1793" max="1793" width="15" style="2" customWidth="1"/>
    <col min="1794" max="1794" width="15.5" style="2" customWidth="1"/>
    <col min="1795" max="1795" width="15.3125" style="2" customWidth="1"/>
    <col min="1796" max="1796" width="16.5" style="2" customWidth="1"/>
    <col min="1797" max="1797" width="15.3125" style="2" customWidth="1"/>
    <col min="1798" max="1798" width="15" style="2" customWidth="1"/>
    <col min="1799" max="1799" width="15.5" style="2" customWidth="1"/>
    <col min="1800" max="1800" width="27.1875" style="2" customWidth="1"/>
    <col min="1801" max="1801" width="11.5" style="2" customWidth="1"/>
    <col min="1802" max="1802" width="19" style="2" customWidth="1"/>
    <col min="1803" max="1804" width="0" style="2" hidden="1" customWidth="1"/>
    <col min="1805" max="1805" width="21" style="2" customWidth="1"/>
    <col min="1806" max="1809" width="0" style="2" hidden="1" customWidth="1"/>
    <col min="1810" max="1810" width="54.6875" style="2" customWidth="1"/>
    <col min="1811" max="1811" width="9.6875" style="2" customWidth="1"/>
    <col min="1812" max="1812" width="9.1875" style="2"/>
    <col min="1813" max="1825" width="0" style="2" hidden="1" customWidth="1"/>
    <col min="1826" max="2039" width="9.1875" style="2"/>
    <col min="2040" max="2040" width="12.5" style="2" customWidth="1"/>
    <col min="2041" max="2041" width="10.5" style="2" customWidth="1"/>
    <col min="2042" max="2042" width="25" style="2" customWidth="1"/>
    <col min="2043" max="2043" width="23.6875" style="2" customWidth="1"/>
    <col min="2044" max="2044" width="17.1875" style="2" customWidth="1"/>
    <col min="2045" max="2045" width="16.3125" style="2" customWidth="1"/>
    <col min="2046" max="2046" width="16.5" style="2" customWidth="1"/>
    <col min="2047" max="2047" width="16.1875" style="2" customWidth="1"/>
    <col min="2048" max="2048" width="15.5" style="2" customWidth="1"/>
    <col min="2049" max="2049" width="15" style="2" customWidth="1"/>
    <col min="2050" max="2050" width="15.5" style="2" customWidth="1"/>
    <col min="2051" max="2051" width="15.3125" style="2" customWidth="1"/>
    <col min="2052" max="2052" width="16.5" style="2" customWidth="1"/>
    <col min="2053" max="2053" width="15.3125" style="2" customWidth="1"/>
    <col min="2054" max="2054" width="15" style="2" customWidth="1"/>
    <col min="2055" max="2055" width="15.5" style="2" customWidth="1"/>
    <col min="2056" max="2056" width="27.1875" style="2" customWidth="1"/>
    <col min="2057" max="2057" width="11.5" style="2" customWidth="1"/>
    <col min="2058" max="2058" width="19" style="2" customWidth="1"/>
    <col min="2059" max="2060" width="0" style="2" hidden="1" customWidth="1"/>
    <col min="2061" max="2061" width="21" style="2" customWidth="1"/>
    <col min="2062" max="2065" width="0" style="2" hidden="1" customWidth="1"/>
    <col min="2066" max="2066" width="54.6875" style="2" customWidth="1"/>
    <col min="2067" max="2067" width="9.6875" style="2" customWidth="1"/>
    <col min="2068" max="2068" width="9.1875" style="2"/>
    <col min="2069" max="2081" width="0" style="2" hidden="1" customWidth="1"/>
    <col min="2082" max="2295" width="9.1875" style="2"/>
    <col min="2296" max="2296" width="12.5" style="2" customWidth="1"/>
    <col min="2297" max="2297" width="10.5" style="2" customWidth="1"/>
    <col min="2298" max="2298" width="25" style="2" customWidth="1"/>
    <col min="2299" max="2299" width="23.6875" style="2" customWidth="1"/>
    <col min="2300" max="2300" width="17.1875" style="2" customWidth="1"/>
    <col min="2301" max="2301" width="16.3125" style="2" customWidth="1"/>
    <col min="2302" max="2302" width="16.5" style="2" customWidth="1"/>
    <col min="2303" max="2303" width="16.1875" style="2" customWidth="1"/>
    <col min="2304" max="2304" width="15.5" style="2" customWidth="1"/>
    <col min="2305" max="2305" width="15" style="2" customWidth="1"/>
    <col min="2306" max="2306" width="15.5" style="2" customWidth="1"/>
    <col min="2307" max="2307" width="15.3125" style="2" customWidth="1"/>
    <col min="2308" max="2308" width="16.5" style="2" customWidth="1"/>
    <col min="2309" max="2309" width="15.3125" style="2" customWidth="1"/>
    <col min="2310" max="2310" width="15" style="2" customWidth="1"/>
    <col min="2311" max="2311" width="15.5" style="2" customWidth="1"/>
    <col min="2312" max="2312" width="27.1875" style="2" customWidth="1"/>
    <col min="2313" max="2313" width="11.5" style="2" customWidth="1"/>
    <col min="2314" max="2314" width="19" style="2" customWidth="1"/>
    <col min="2315" max="2316" width="0" style="2" hidden="1" customWidth="1"/>
    <col min="2317" max="2317" width="21" style="2" customWidth="1"/>
    <col min="2318" max="2321" width="0" style="2" hidden="1" customWidth="1"/>
    <col min="2322" max="2322" width="54.6875" style="2" customWidth="1"/>
    <col min="2323" max="2323" width="9.6875" style="2" customWidth="1"/>
    <col min="2324" max="2324" width="9.1875" style="2"/>
    <col min="2325" max="2337" width="0" style="2" hidden="1" customWidth="1"/>
    <col min="2338" max="2551" width="9.1875" style="2"/>
    <col min="2552" max="2552" width="12.5" style="2" customWidth="1"/>
    <col min="2553" max="2553" width="10.5" style="2" customWidth="1"/>
    <col min="2554" max="2554" width="25" style="2" customWidth="1"/>
    <col min="2555" max="2555" width="23.6875" style="2" customWidth="1"/>
    <col min="2556" max="2556" width="17.1875" style="2" customWidth="1"/>
    <col min="2557" max="2557" width="16.3125" style="2" customWidth="1"/>
    <col min="2558" max="2558" width="16.5" style="2" customWidth="1"/>
    <col min="2559" max="2559" width="16.1875" style="2" customWidth="1"/>
    <col min="2560" max="2560" width="15.5" style="2" customWidth="1"/>
    <col min="2561" max="2561" width="15" style="2" customWidth="1"/>
    <col min="2562" max="2562" width="15.5" style="2" customWidth="1"/>
    <col min="2563" max="2563" width="15.3125" style="2" customWidth="1"/>
    <col min="2564" max="2564" width="16.5" style="2" customWidth="1"/>
    <col min="2565" max="2565" width="15.3125" style="2" customWidth="1"/>
    <col min="2566" max="2566" width="15" style="2" customWidth="1"/>
    <col min="2567" max="2567" width="15.5" style="2" customWidth="1"/>
    <col min="2568" max="2568" width="27.1875" style="2" customWidth="1"/>
    <col min="2569" max="2569" width="11.5" style="2" customWidth="1"/>
    <col min="2570" max="2570" width="19" style="2" customWidth="1"/>
    <col min="2571" max="2572" width="0" style="2" hidden="1" customWidth="1"/>
    <col min="2573" max="2573" width="21" style="2" customWidth="1"/>
    <col min="2574" max="2577" width="0" style="2" hidden="1" customWidth="1"/>
    <col min="2578" max="2578" width="54.6875" style="2" customWidth="1"/>
    <col min="2579" max="2579" width="9.6875" style="2" customWidth="1"/>
    <col min="2580" max="2580" width="9.1875" style="2"/>
    <col min="2581" max="2593" width="0" style="2" hidden="1" customWidth="1"/>
    <col min="2594" max="2807" width="9.1875" style="2"/>
    <col min="2808" max="2808" width="12.5" style="2" customWidth="1"/>
    <col min="2809" max="2809" width="10.5" style="2" customWidth="1"/>
    <col min="2810" max="2810" width="25" style="2" customWidth="1"/>
    <col min="2811" max="2811" width="23.6875" style="2" customWidth="1"/>
    <col min="2812" max="2812" width="17.1875" style="2" customWidth="1"/>
    <col min="2813" max="2813" width="16.3125" style="2" customWidth="1"/>
    <col min="2814" max="2814" width="16.5" style="2" customWidth="1"/>
    <col min="2815" max="2815" width="16.1875" style="2" customWidth="1"/>
    <col min="2816" max="2816" width="15.5" style="2" customWidth="1"/>
    <col min="2817" max="2817" width="15" style="2" customWidth="1"/>
    <col min="2818" max="2818" width="15.5" style="2" customWidth="1"/>
    <col min="2819" max="2819" width="15.3125" style="2" customWidth="1"/>
    <col min="2820" max="2820" width="16.5" style="2" customWidth="1"/>
    <col min="2821" max="2821" width="15.3125" style="2" customWidth="1"/>
    <col min="2822" max="2822" width="15" style="2" customWidth="1"/>
    <col min="2823" max="2823" width="15.5" style="2" customWidth="1"/>
    <col min="2824" max="2824" width="27.1875" style="2" customWidth="1"/>
    <col min="2825" max="2825" width="11.5" style="2" customWidth="1"/>
    <col min="2826" max="2826" width="19" style="2" customWidth="1"/>
    <col min="2827" max="2828" width="0" style="2" hidden="1" customWidth="1"/>
    <col min="2829" max="2829" width="21" style="2" customWidth="1"/>
    <col min="2830" max="2833" width="0" style="2" hidden="1" customWidth="1"/>
    <col min="2834" max="2834" width="54.6875" style="2" customWidth="1"/>
    <col min="2835" max="2835" width="9.6875" style="2" customWidth="1"/>
    <col min="2836" max="2836" width="9.1875" style="2"/>
    <col min="2837" max="2849" width="0" style="2" hidden="1" customWidth="1"/>
    <col min="2850" max="3063" width="9.1875" style="2"/>
    <col min="3064" max="3064" width="12.5" style="2" customWidth="1"/>
    <col min="3065" max="3065" width="10.5" style="2" customWidth="1"/>
    <col min="3066" max="3066" width="25" style="2" customWidth="1"/>
    <col min="3067" max="3067" width="23.6875" style="2" customWidth="1"/>
    <col min="3068" max="3068" width="17.1875" style="2" customWidth="1"/>
    <col min="3069" max="3069" width="16.3125" style="2" customWidth="1"/>
    <col min="3070" max="3070" width="16.5" style="2" customWidth="1"/>
    <col min="3071" max="3071" width="16.1875" style="2" customWidth="1"/>
    <col min="3072" max="3072" width="15.5" style="2" customWidth="1"/>
    <col min="3073" max="3073" width="15" style="2" customWidth="1"/>
    <col min="3074" max="3074" width="15.5" style="2" customWidth="1"/>
    <col min="3075" max="3075" width="15.3125" style="2" customWidth="1"/>
    <col min="3076" max="3076" width="16.5" style="2" customWidth="1"/>
    <col min="3077" max="3077" width="15.3125" style="2" customWidth="1"/>
    <col min="3078" max="3078" width="15" style="2" customWidth="1"/>
    <col min="3079" max="3079" width="15.5" style="2" customWidth="1"/>
    <col min="3080" max="3080" width="27.1875" style="2" customWidth="1"/>
    <col min="3081" max="3081" width="11.5" style="2" customWidth="1"/>
    <col min="3082" max="3082" width="19" style="2" customWidth="1"/>
    <col min="3083" max="3084" width="0" style="2" hidden="1" customWidth="1"/>
    <col min="3085" max="3085" width="21" style="2" customWidth="1"/>
    <col min="3086" max="3089" width="0" style="2" hidden="1" customWidth="1"/>
    <col min="3090" max="3090" width="54.6875" style="2" customWidth="1"/>
    <col min="3091" max="3091" width="9.6875" style="2" customWidth="1"/>
    <col min="3092" max="3092" width="9.1875" style="2"/>
    <col min="3093" max="3105" width="0" style="2" hidden="1" customWidth="1"/>
    <col min="3106" max="3319" width="9.1875" style="2"/>
    <col min="3320" max="3320" width="12.5" style="2" customWidth="1"/>
    <col min="3321" max="3321" width="10.5" style="2" customWidth="1"/>
    <col min="3322" max="3322" width="25" style="2" customWidth="1"/>
    <col min="3323" max="3323" width="23.6875" style="2" customWidth="1"/>
    <col min="3324" max="3324" width="17.1875" style="2" customWidth="1"/>
    <col min="3325" max="3325" width="16.3125" style="2" customWidth="1"/>
    <col min="3326" max="3326" width="16.5" style="2" customWidth="1"/>
    <col min="3327" max="3327" width="16.1875" style="2" customWidth="1"/>
    <col min="3328" max="3328" width="15.5" style="2" customWidth="1"/>
    <col min="3329" max="3329" width="15" style="2" customWidth="1"/>
    <col min="3330" max="3330" width="15.5" style="2" customWidth="1"/>
    <col min="3331" max="3331" width="15.3125" style="2" customWidth="1"/>
    <col min="3332" max="3332" width="16.5" style="2" customWidth="1"/>
    <col min="3333" max="3333" width="15.3125" style="2" customWidth="1"/>
    <col min="3334" max="3334" width="15" style="2" customWidth="1"/>
    <col min="3335" max="3335" width="15.5" style="2" customWidth="1"/>
    <col min="3336" max="3336" width="27.1875" style="2" customWidth="1"/>
    <col min="3337" max="3337" width="11.5" style="2" customWidth="1"/>
    <col min="3338" max="3338" width="19" style="2" customWidth="1"/>
    <col min="3339" max="3340" width="0" style="2" hidden="1" customWidth="1"/>
    <col min="3341" max="3341" width="21" style="2" customWidth="1"/>
    <col min="3342" max="3345" width="0" style="2" hidden="1" customWidth="1"/>
    <col min="3346" max="3346" width="54.6875" style="2" customWidth="1"/>
    <col min="3347" max="3347" width="9.6875" style="2" customWidth="1"/>
    <col min="3348" max="3348" width="9.1875" style="2"/>
    <col min="3349" max="3361" width="0" style="2" hidden="1" customWidth="1"/>
    <col min="3362" max="3575" width="9.1875" style="2"/>
    <col min="3576" max="3576" width="12.5" style="2" customWidth="1"/>
    <col min="3577" max="3577" width="10.5" style="2" customWidth="1"/>
    <col min="3578" max="3578" width="25" style="2" customWidth="1"/>
    <col min="3579" max="3579" width="23.6875" style="2" customWidth="1"/>
    <col min="3580" max="3580" width="17.1875" style="2" customWidth="1"/>
    <col min="3581" max="3581" width="16.3125" style="2" customWidth="1"/>
    <col min="3582" max="3582" width="16.5" style="2" customWidth="1"/>
    <col min="3583" max="3583" width="16.1875" style="2" customWidth="1"/>
    <col min="3584" max="3584" width="15.5" style="2" customWidth="1"/>
    <col min="3585" max="3585" width="15" style="2" customWidth="1"/>
    <col min="3586" max="3586" width="15.5" style="2" customWidth="1"/>
    <col min="3587" max="3587" width="15.3125" style="2" customWidth="1"/>
    <col min="3588" max="3588" width="16.5" style="2" customWidth="1"/>
    <col min="3589" max="3589" width="15.3125" style="2" customWidth="1"/>
    <col min="3590" max="3590" width="15" style="2" customWidth="1"/>
    <col min="3591" max="3591" width="15.5" style="2" customWidth="1"/>
    <col min="3592" max="3592" width="27.1875" style="2" customWidth="1"/>
    <col min="3593" max="3593" width="11.5" style="2" customWidth="1"/>
    <col min="3594" max="3594" width="19" style="2" customWidth="1"/>
    <col min="3595" max="3596" width="0" style="2" hidden="1" customWidth="1"/>
    <col min="3597" max="3597" width="21" style="2" customWidth="1"/>
    <col min="3598" max="3601" width="0" style="2" hidden="1" customWidth="1"/>
    <col min="3602" max="3602" width="54.6875" style="2" customWidth="1"/>
    <col min="3603" max="3603" width="9.6875" style="2" customWidth="1"/>
    <col min="3604" max="3604" width="9.1875" style="2"/>
    <col min="3605" max="3617" width="0" style="2" hidden="1" customWidth="1"/>
    <col min="3618" max="3831" width="9.1875" style="2"/>
    <col min="3832" max="3832" width="12.5" style="2" customWidth="1"/>
    <col min="3833" max="3833" width="10.5" style="2" customWidth="1"/>
    <col min="3834" max="3834" width="25" style="2" customWidth="1"/>
    <col min="3835" max="3835" width="23.6875" style="2" customWidth="1"/>
    <col min="3836" max="3836" width="17.1875" style="2" customWidth="1"/>
    <col min="3837" max="3837" width="16.3125" style="2" customWidth="1"/>
    <col min="3838" max="3838" width="16.5" style="2" customWidth="1"/>
    <col min="3839" max="3839" width="16.1875" style="2" customWidth="1"/>
    <col min="3840" max="3840" width="15.5" style="2" customWidth="1"/>
    <col min="3841" max="3841" width="15" style="2" customWidth="1"/>
    <col min="3842" max="3842" width="15.5" style="2" customWidth="1"/>
    <col min="3843" max="3843" width="15.3125" style="2" customWidth="1"/>
    <col min="3844" max="3844" width="16.5" style="2" customWidth="1"/>
    <col min="3845" max="3845" width="15.3125" style="2" customWidth="1"/>
    <col min="3846" max="3846" width="15" style="2" customWidth="1"/>
    <col min="3847" max="3847" width="15.5" style="2" customWidth="1"/>
    <col min="3848" max="3848" width="27.1875" style="2" customWidth="1"/>
    <col min="3849" max="3849" width="11.5" style="2" customWidth="1"/>
    <col min="3850" max="3850" width="19" style="2" customWidth="1"/>
    <col min="3851" max="3852" width="0" style="2" hidden="1" customWidth="1"/>
    <col min="3853" max="3853" width="21" style="2" customWidth="1"/>
    <col min="3854" max="3857" width="0" style="2" hidden="1" customWidth="1"/>
    <col min="3858" max="3858" width="54.6875" style="2" customWidth="1"/>
    <col min="3859" max="3859" width="9.6875" style="2" customWidth="1"/>
    <col min="3860" max="3860" width="9.1875" style="2"/>
    <col min="3861" max="3873" width="0" style="2" hidden="1" customWidth="1"/>
    <col min="3874" max="4087" width="9.1875" style="2"/>
    <col min="4088" max="4088" width="12.5" style="2" customWidth="1"/>
    <col min="4089" max="4089" width="10.5" style="2" customWidth="1"/>
    <col min="4090" max="4090" width="25" style="2" customWidth="1"/>
    <col min="4091" max="4091" width="23.6875" style="2" customWidth="1"/>
    <col min="4092" max="4092" width="17.1875" style="2" customWidth="1"/>
    <col min="4093" max="4093" width="16.3125" style="2" customWidth="1"/>
    <col min="4094" max="4094" width="16.5" style="2" customWidth="1"/>
    <col min="4095" max="4095" width="16.1875" style="2" customWidth="1"/>
    <col min="4096" max="4096" width="15.5" style="2" customWidth="1"/>
    <col min="4097" max="4097" width="15" style="2" customWidth="1"/>
    <col min="4098" max="4098" width="15.5" style="2" customWidth="1"/>
    <col min="4099" max="4099" width="15.3125" style="2" customWidth="1"/>
    <col min="4100" max="4100" width="16.5" style="2" customWidth="1"/>
    <col min="4101" max="4101" width="15.3125" style="2" customWidth="1"/>
    <col min="4102" max="4102" width="15" style="2" customWidth="1"/>
    <col min="4103" max="4103" width="15.5" style="2" customWidth="1"/>
    <col min="4104" max="4104" width="27.1875" style="2" customWidth="1"/>
    <col min="4105" max="4105" width="11.5" style="2" customWidth="1"/>
    <col min="4106" max="4106" width="19" style="2" customWidth="1"/>
    <col min="4107" max="4108" width="0" style="2" hidden="1" customWidth="1"/>
    <col min="4109" max="4109" width="21" style="2" customWidth="1"/>
    <col min="4110" max="4113" width="0" style="2" hidden="1" customWidth="1"/>
    <col min="4114" max="4114" width="54.6875" style="2" customWidth="1"/>
    <col min="4115" max="4115" width="9.6875" style="2" customWidth="1"/>
    <col min="4116" max="4116" width="9.1875" style="2"/>
    <col min="4117" max="4129" width="0" style="2" hidden="1" customWidth="1"/>
    <col min="4130" max="4343" width="9.1875" style="2"/>
    <col min="4344" max="4344" width="12.5" style="2" customWidth="1"/>
    <col min="4345" max="4345" width="10.5" style="2" customWidth="1"/>
    <col min="4346" max="4346" width="25" style="2" customWidth="1"/>
    <col min="4347" max="4347" width="23.6875" style="2" customWidth="1"/>
    <col min="4348" max="4348" width="17.1875" style="2" customWidth="1"/>
    <col min="4349" max="4349" width="16.3125" style="2" customWidth="1"/>
    <col min="4350" max="4350" width="16.5" style="2" customWidth="1"/>
    <col min="4351" max="4351" width="16.1875" style="2" customWidth="1"/>
    <col min="4352" max="4352" width="15.5" style="2" customWidth="1"/>
    <col min="4353" max="4353" width="15" style="2" customWidth="1"/>
    <col min="4354" max="4354" width="15.5" style="2" customWidth="1"/>
    <col min="4355" max="4355" width="15.3125" style="2" customWidth="1"/>
    <col min="4356" max="4356" width="16.5" style="2" customWidth="1"/>
    <col min="4357" max="4357" width="15.3125" style="2" customWidth="1"/>
    <col min="4358" max="4358" width="15" style="2" customWidth="1"/>
    <col min="4359" max="4359" width="15.5" style="2" customWidth="1"/>
    <col min="4360" max="4360" width="27.1875" style="2" customWidth="1"/>
    <col min="4361" max="4361" width="11.5" style="2" customWidth="1"/>
    <col min="4362" max="4362" width="19" style="2" customWidth="1"/>
    <col min="4363" max="4364" width="0" style="2" hidden="1" customWidth="1"/>
    <col min="4365" max="4365" width="21" style="2" customWidth="1"/>
    <col min="4366" max="4369" width="0" style="2" hidden="1" customWidth="1"/>
    <col min="4370" max="4370" width="54.6875" style="2" customWidth="1"/>
    <col min="4371" max="4371" width="9.6875" style="2" customWidth="1"/>
    <col min="4372" max="4372" width="9.1875" style="2"/>
    <col min="4373" max="4385" width="0" style="2" hidden="1" customWidth="1"/>
    <col min="4386" max="4599" width="9.1875" style="2"/>
    <col min="4600" max="4600" width="12.5" style="2" customWidth="1"/>
    <col min="4601" max="4601" width="10.5" style="2" customWidth="1"/>
    <col min="4602" max="4602" width="25" style="2" customWidth="1"/>
    <col min="4603" max="4603" width="23.6875" style="2" customWidth="1"/>
    <col min="4604" max="4604" width="17.1875" style="2" customWidth="1"/>
    <col min="4605" max="4605" width="16.3125" style="2" customWidth="1"/>
    <col min="4606" max="4606" width="16.5" style="2" customWidth="1"/>
    <col min="4607" max="4607" width="16.1875" style="2" customWidth="1"/>
    <col min="4608" max="4608" width="15.5" style="2" customWidth="1"/>
    <col min="4609" max="4609" width="15" style="2" customWidth="1"/>
    <col min="4610" max="4610" width="15.5" style="2" customWidth="1"/>
    <col min="4611" max="4611" width="15.3125" style="2" customWidth="1"/>
    <col min="4612" max="4612" width="16.5" style="2" customWidth="1"/>
    <col min="4613" max="4613" width="15.3125" style="2" customWidth="1"/>
    <col min="4614" max="4614" width="15" style="2" customWidth="1"/>
    <col min="4615" max="4615" width="15.5" style="2" customWidth="1"/>
    <col min="4616" max="4616" width="27.1875" style="2" customWidth="1"/>
    <col min="4617" max="4617" width="11.5" style="2" customWidth="1"/>
    <col min="4618" max="4618" width="19" style="2" customWidth="1"/>
    <col min="4619" max="4620" width="0" style="2" hidden="1" customWidth="1"/>
    <col min="4621" max="4621" width="21" style="2" customWidth="1"/>
    <col min="4622" max="4625" width="0" style="2" hidden="1" customWidth="1"/>
    <col min="4626" max="4626" width="54.6875" style="2" customWidth="1"/>
    <col min="4627" max="4627" width="9.6875" style="2" customWidth="1"/>
    <col min="4628" max="4628" width="9.1875" style="2"/>
    <col min="4629" max="4641" width="0" style="2" hidden="1" customWidth="1"/>
    <col min="4642" max="4855" width="9.1875" style="2"/>
    <col min="4856" max="4856" width="12.5" style="2" customWidth="1"/>
    <col min="4857" max="4857" width="10.5" style="2" customWidth="1"/>
    <col min="4858" max="4858" width="25" style="2" customWidth="1"/>
    <col min="4859" max="4859" width="23.6875" style="2" customWidth="1"/>
    <col min="4860" max="4860" width="17.1875" style="2" customWidth="1"/>
    <col min="4861" max="4861" width="16.3125" style="2" customWidth="1"/>
    <col min="4862" max="4862" width="16.5" style="2" customWidth="1"/>
    <col min="4863" max="4863" width="16.1875" style="2" customWidth="1"/>
    <col min="4864" max="4864" width="15.5" style="2" customWidth="1"/>
    <col min="4865" max="4865" width="15" style="2" customWidth="1"/>
    <col min="4866" max="4866" width="15.5" style="2" customWidth="1"/>
    <col min="4867" max="4867" width="15.3125" style="2" customWidth="1"/>
    <col min="4868" max="4868" width="16.5" style="2" customWidth="1"/>
    <col min="4869" max="4869" width="15.3125" style="2" customWidth="1"/>
    <col min="4870" max="4870" width="15" style="2" customWidth="1"/>
    <col min="4871" max="4871" width="15.5" style="2" customWidth="1"/>
    <col min="4872" max="4872" width="27.1875" style="2" customWidth="1"/>
    <col min="4873" max="4873" width="11.5" style="2" customWidth="1"/>
    <col min="4874" max="4874" width="19" style="2" customWidth="1"/>
    <col min="4875" max="4876" width="0" style="2" hidden="1" customWidth="1"/>
    <col min="4877" max="4877" width="21" style="2" customWidth="1"/>
    <col min="4878" max="4881" width="0" style="2" hidden="1" customWidth="1"/>
    <col min="4882" max="4882" width="54.6875" style="2" customWidth="1"/>
    <col min="4883" max="4883" width="9.6875" style="2" customWidth="1"/>
    <col min="4884" max="4884" width="9.1875" style="2"/>
    <col min="4885" max="4897" width="0" style="2" hidden="1" customWidth="1"/>
    <col min="4898" max="5111" width="9.1875" style="2"/>
    <col min="5112" max="5112" width="12.5" style="2" customWidth="1"/>
    <col min="5113" max="5113" width="10.5" style="2" customWidth="1"/>
    <col min="5114" max="5114" width="25" style="2" customWidth="1"/>
    <col min="5115" max="5115" width="23.6875" style="2" customWidth="1"/>
    <col min="5116" max="5116" width="17.1875" style="2" customWidth="1"/>
    <col min="5117" max="5117" width="16.3125" style="2" customWidth="1"/>
    <col min="5118" max="5118" width="16.5" style="2" customWidth="1"/>
    <col min="5119" max="5119" width="16.1875" style="2" customWidth="1"/>
    <col min="5120" max="5120" width="15.5" style="2" customWidth="1"/>
    <col min="5121" max="5121" width="15" style="2" customWidth="1"/>
    <col min="5122" max="5122" width="15.5" style="2" customWidth="1"/>
    <col min="5123" max="5123" width="15.3125" style="2" customWidth="1"/>
    <col min="5124" max="5124" width="16.5" style="2" customWidth="1"/>
    <col min="5125" max="5125" width="15.3125" style="2" customWidth="1"/>
    <col min="5126" max="5126" width="15" style="2" customWidth="1"/>
    <col min="5127" max="5127" width="15.5" style="2" customWidth="1"/>
    <col min="5128" max="5128" width="27.1875" style="2" customWidth="1"/>
    <col min="5129" max="5129" width="11.5" style="2" customWidth="1"/>
    <col min="5130" max="5130" width="19" style="2" customWidth="1"/>
    <col min="5131" max="5132" width="0" style="2" hidden="1" customWidth="1"/>
    <col min="5133" max="5133" width="21" style="2" customWidth="1"/>
    <col min="5134" max="5137" width="0" style="2" hidden="1" customWidth="1"/>
    <col min="5138" max="5138" width="54.6875" style="2" customWidth="1"/>
    <col min="5139" max="5139" width="9.6875" style="2" customWidth="1"/>
    <col min="5140" max="5140" width="9.1875" style="2"/>
    <col min="5141" max="5153" width="0" style="2" hidden="1" customWidth="1"/>
    <col min="5154" max="5367" width="9.1875" style="2"/>
    <col min="5368" max="5368" width="12.5" style="2" customWidth="1"/>
    <col min="5369" max="5369" width="10.5" style="2" customWidth="1"/>
    <col min="5370" max="5370" width="25" style="2" customWidth="1"/>
    <col min="5371" max="5371" width="23.6875" style="2" customWidth="1"/>
    <col min="5372" max="5372" width="17.1875" style="2" customWidth="1"/>
    <col min="5373" max="5373" width="16.3125" style="2" customWidth="1"/>
    <col min="5374" max="5374" width="16.5" style="2" customWidth="1"/>
    <col min="5375" max="5375" width="16.1875" style="2" customWidth="1"/>
    <col min="5376" max="5376" width="15.5" style="2" customWidth="1"/>
    <col min="5377" max="5377" width="15" style="2" customWidth="1"/>
    <col min="5378" max="5378" width="15.5" style="2" customWidth="1"/>
    <col min="5379" max="5379" width="15.3125" style="2" customWidth="1"/>
    <col min="5380" max="5380" width="16.5" style="2" customWidth="1"/>
    <col min="5381" max="5381" width="15.3125" style="2" customWidth="1"/>
    <col min="5382" max="5382" width="15" style="2" customWidth="1"/>
    <col min="5383" max="5383" width="15.5" style="2" customWidth="1"/>
    <col min="5384" max="5384" width="27.1875" style="2" customWidth="1"/>
    <col min="5385" max="5385" width="11.5" style="2" customWidth="1"/>
    <col min="5386" max="5386" width="19" style="2" customWidth="1"/>
    <col min="5387" max="5388" width="0" style="2" hidden="1" customWidth="1"/>
    <col min="5389" max="5389" width="21" style="2" customWidth="1"/>
    <col min="5390" max="5393" width="0" style="2" hidden="1" customWidth="1"/>
    <col min="5394" max="5394" width="54.6875" style="2" customWidth="1"/>
    <col min="5395" max="5395" width="9.6875" style="2" customWidth="1"/>
    <col min="5396" max="5396" width="9.1875" style="2"/>
    <col min="5397" max="5409" width="0" style="2" hidden="1" customWidth="1"/>
    <col min="5410" max="5623" width="9.1875" style="2"/>
    <col min="5624" max="5624" width="12.5" style="2" customWidth="1"/>
    <col min="5625" max="5625" width="10.5" style="2" customWidth="1"/>
    <col min="5626" max="5626" width="25" style="2" customWidth="1"/>
    <col min="5627" max="5627" width="23.6875" style="2" customWidth="1"/>
    <col min="5628" max="5628" width="17.1875" style="2" customWidth="1"/>
    <col min="5629" max="5629" width="16.3125" style="2" customWidth="1"/>
    <col min="5630" max="5630" width="16.5" style="2" customWidth="1"/>
    <col min="5631" max="5631" width="16.1875" style="2" customWidth="1"/>
    <col min="5632" max="5632" width="15.5" style="2" customWidth="1"/>
    <col min="5633" max="5633" width="15" style="2" customWidth="1"/>
    <col min="5634" max="5634" width="15.5" style="2" customWidth="1"/>
    <col min="5635" max="5635" width="15.3125" style="2" customWidth="1"/>
    <col min="5636" max="5636" width="16.5" style="2" customWidth="1"/>
    <col min="5637" max="5637" width="15.3125" style="2" customWidth="1"/>
    <col min="5638" max="5638" width="15" style="2" customWidth="1"/>
    <col min="5639" max="5639" width="15.5" style="2" customWidth="1"/>
    <col min="5640" max="5640" width="27.1875" style="2" customWidth="1"/>
    <col min="5641" max="5641" width="11.5" style="2" customWidth="1"/>
    <col min="5642" max="5642" width="19" style="2" customWidth="1"/>
    <col min="5643" max="5644" width="0" style="2" hidden="1" customWidth="1"/>
    <col min="5645" max="5645" width="21" style="2" customWidth="1"/>
    <col min="5646" max="5649" width="0" style="2" hidden="1" customWidth="1"/>
    <col min="5650" max="5650" width="54.6875" style="2" customWidth="1"/>
    <col min="5651" max="5651" width="9.6875" style="2" customWidth="1"/>
    <col min="5652" max="5652" width="9.1875" style="2"/>
    <col min="5653" max="5665" width="0" style="2" hidden="1" customWidth="1"/>
    <col min="5666" max="5879" width="9.1875" style="2"/>
    <col min="5880" max="5880" width="12.5" style="2" customWidth="1"/>
    <col min="5881" max="5881" width="10.5" style="2" customWidth="1"/>
    <col min="5882" max="5882" width="25" style="2" customWidth="1"/>
    <col min="5883" max="5883" width="23.6875" style="2" customWidth="1"/>
    <col min="5884" max="5884" width="17.1875" style="2" customWidth="1"/>
    <col min="5885" max="5885" width="16.3125" style="2" customWidth="1"/>
    <col min="5886" max="5886" width="16.5" style="2" customWidth="1"/>
    <col min="5887" max="5887" width="16.1875" style="2" customWidth="1"/>
    <col min="5888" max="5888" width="15.5" style="2" customWidth="1"/>
    <col min="5889" max="5889" width="15" style="2" customWidth="1"/>
    <col min="5890" max="5890" width="15.5" style="2" customWidth="1"/>
    <col min="5891" max="5891" width="15.3125" style="2" customWidth="1"/>
    <col min="5892" max="5892" width="16.5" style="2" customWidth="1"/>
    <col min="5893" max="5893" width="15.3125" style="2" customWidth="1"/>
    <col min="5894" max="5894" width="15" style="2" customWidth="1"/>
    <col min="5895" max="5895" width="15.5" style="2" customWidth="1"/>
    <col min="5896" max="5896" width="27.1875" style="2" customWidth="1"/>
    <col min="5897" max="5897" width="11.5" style="2" customWidth="1"/>
    <col min="5898" max="5898" width="19" style="2" customWidth="1"/>
    <col min="5899" max="5900" width="0" style="2" hidden="1" customWidth="1"/>
    <col min="5901" max="5901" width="21" style="2" customWidth="1"/>
    <col min="5902" max="5905" width="0" style="2" hidden="1" customWidth="1"/>
    <col min="5906" max="5906" width="54.6875" style="2" customWidth="1"/>
    <col min="5907" max="5907" width="9.6875" style="2" customWidth="1"/>
    <col min="5908" max="5908" width="9.1875" style="2"/>
    <col min="5909" max="5921" width="0" style="2" hidden="1" customWidth="1"/>
    <col min="5922" max="6135" width="9.1875" style="2"/>
    <col min="6136" max="6136" width="12.5" style="2" customWidth="1"/>
    <col min="6137" max="6137" width="10.5" style="2" customWidth="1"/>
    <col min="6138" max="6138" width="25" style="2" customWidth="1"/>
    <col min="6139" max="6139" width="23.6875" style="2" customWidth="1"/>
    <col min="6140" max="6140" width="17.1875" style="2" customWidth="1"/>
    <col min="6141" max="6141" width="16.3125" style="2" customWidth="1"/>
    <col min="6142" max="6142" width="16.5" style="2" customWidth="1"/>
    <col min="6143" max="6143" width="16.1875" style="2" customWidth="1"/>
    <col min="6144" max="6144" width="15.5" style="2" customWidth="1"/>
    <col min="6145" max="6145" width="15" style="2" customWidth="1"/>
    <col min="6146" max="6146" width="15.5" style="2" customWidth="1"/>
    <col min="6147" max="6147" width="15.3125" style="2" customWidth="1"/>
    <col min="6148" max="6148" width="16.5" style="2" customWidth="1"/>
    <col min="6149" max="6149" width="15.3125" style="2" customWidth="1"/>
    <col min="6150" max="6150" width="15" style="2" customWidth="1"/>
    <col min="6151" max="6151" width="15.5" style="2" customWidth="1"/>
    <col min="6152" max="6152" width="27.1875" style="2" customWidth="1"/>
    <col min="6153" max="6153" width="11.5" style="2" customWidth="1"/>
    <col min="6154" max="6154" width="19" style="2" customWidth="1"/>
    <col min="6155" max="6156" width="0" style="2" hidden="1" customWidth="1"/>
    <col min="6157" max="6157" width="21" style="2" customWidth="1"/>
    <col min="6158" max="6161" width="0" style="2" hidden="1" customWidth="1"/>
    <col min="6162" max="6162" width="54.6875" style="2" customWidth="1"/>
    <col min="6163" max="6163" width="9.6875" style="2" customWidth="1"/>
    <col min="6164" max="6164" width="9.1875" style="2"/>
    <col min="6165" max="6177" width="0" style="2" hidden="1" customWidth="1"/>
    <col min="6178" max="6391" width="9.1875" style="2"/>
    <col min="6392" max="6392" width="12.5" style="2" customWidth="1"/>
    <col min="6393" max="6393" width="10.5" style="2" customWidth="1"/>
    <col min="6394" max="6394" width="25" style="2" customWidth="1"/>
    <col min="6395" max="6395" width="23.6875" style="2" customWidth="1"/>
    <col min="6396" max="6396" width="17.1875" style="2" customWidth="1"/>
    <col min="6397" max="6397" width="16.3125" style="2" customWidth="1"/>
    <col min="6398" max="6398" width="16.5" style="2" customWidth="1"/>
    <col min="6399" max="6399" width="16.1875" style="2" customWidth="1"/>
    <col min="6400" max="6400" width="15.5" style="2" customWidth="1"/>
    <col min="6401" max="6401" width="15" style="2" customWidth="1"/>
    <col min="6402" max="6402" width="15.5" style="2" customWidth="1"/>
    <col min="6403" max="6403" width="15.3125" style="2" customWidth="1"/>
    <col min="6404" max="6404" width="16.5" style="2" customWidth="1"/>
    <col min="6405" max="6405" width="15.3125" style="2" customWidth="1"/>
    <col min="6406" max="6406" width="15" style="2" customWidth="1"/>
    <col min="6407" max="6407" width="15.5" style="2" customWidth="1"/>
    <col min="6408" max="6408" width="27.1875" style="2" customWidth="1"/>
    <col min="6409" max="6409" width="11.5" style="2" customWidth="1"/>
    <col min="6410" max="6410" width="19" style="2" customWidth="1"/>
    <col min="6411" max="6412" width="0" style="2" hidden="1" customWidth="1"/>
    <col min="6413" max="6413" width="21" style="2" customWidth="1"/>
    <col min="6414" max="6417" width="0" style="2" hidden="1" customWidth="1"/>
    <col min="6418" max="6418" width="54.6875" style="2" customWidth="1"/>
    <col min="6419" max="6419" width="9.6875" style="2" customWidth="1"/>
    <col min="6420" max="6420" width="9.1875" style="2"/>
    <col min="6421" max="6433" width="0" style="2" hidden="1" customWidth="1"/>
    <col min="6434" max="6647" width="9.1875" style="2"/>
    <col min="6648" max="6648" width="12.5" style="2" customWidth="1"/>
    <col min="6649" max="6649" width="10.5" style="2" customWidth="1"/>
    <col min="6650" max="6650" width="25" style="2" customWidth="1"/>
    <col min="6651" max="6651" width="23.6875" style="2" customWidth="1"/>
    <col min="6652" max="6652" width="17.1875" style="2" customWidth="1"/>
    <col min="6653" max="6653" width="16.3125" style="2" customWidth="1"/>
    <col min="6654" max="6654" width="16.5" style="2" customWidth="1"/>
    <col min="6655" max="6655" width="16.1875" style="2" customWidth="1"/>
    <col min="6656" max="6656" width="15.5" style="2" customWidth="1"/>
    <col min="6657" max="6657" width="15" style="2" customWidth="1"/>
    <col min="6658" max="6658" width="15.5" style="2" customWidth="1"/>
    <col min="6659" max="6659" width="15.3125" style="2" customWidth="1"/>
    <col min="6660" max="6660" width="16.5" style="2" customWidth="1"/>
    <col min="6661" max="6661" width="15.3125" style="2" customWidth="1"/>
    <col min="6662" max="6662" width="15" style="2" customWidth="1"/>
    <col min="6663" max="6663" width="15.5" style="2" customWidth="1"/>
    <col min="6664" max="6664" width="27.1875" style="2" customWidth="1"/>
    <col min="6665" max="6665" width="11.5" style="2" customWidth="1"/>
    <col min="6666" max="6666" width="19" style="2" customWidth="1"/>
    <col min="6667" max="6668" width="0" style="2" hidden="1" customWidth="1"/>
    <col min="6669" max="6669" width="21" style="2" customWidth="1"/>
    <col min="6670" max="6673" width="0" style="2" hidden="1" customWidth="1"/>
    <col min="6674" max="6674" width="54.6875" style="2" customWidth="1"/>
    <col min="6675" max="6675" width="9.6875" style="2" customWidth="1"/>
    <col min="6676" max="6676" width="9.1875" style="2"/>
    <col min="6677" max="6689" width="0" style="2" hidden="1" customWidth="1"/>
    <col min="6690" max="6903" width="9.1875" style="2"/>
    <col min="6904" max="6904" width="12.5" style="2" customWidth="1"/>
    <col min="6905" max="6905" width="10.5" style="2" customWidth="1"/>
    <col min="6906" max="6906" width="25" style="2" customWidth="1"/>
    <col min="6907" max="6907" width="23.6875" style="2" customWidth="1"/>
    <col min="6908" max="6908" width="17.1875" style="2" customWidth="1"/>
    <col min="6909" max="6909" width="16.3125" style="2" customWidth="1"/>
    <col min="6910" max="6910" width="16.5" style="2" customWidth="1"/>
    <col min="6911" max="6911" width="16.1875" style="2" customWidth="1"/>
    <col min="6912" max="6912" width="15.5" style="2" customWidth="1"/>
    <col min="6913" max="6913" width="15" style="2" customWidth="1"/>
    <col min="6914" max="6914" width="15.5" style="2" customWidth="1"/>
    <col min="6915" max="6915" width="15.3125" style="2" customWidth="1"/>
    <col min="6916" max="6916" width="16.5" style="2" customWidth="1"/>
    <col min="6917" max="6917" width="15.3125" style="2" customWidth="1"/>
    <col min="6918" max="6918" width="15" style="2" customWidth="1"/>
    <col min="6919" max="6919" width="15.5" style="2" customWidth="1"/>
    <col min="6920" max="6920" width="27.1875" style="2" customWidth="1"/>
    <col min="6921" max="6921" width="11.5" style="2" customWidth="1"/>
    <col min="6922" max="6922" width="19" style="2" customWidth="1"/>
    <col min="6923" max="6924" width="0" style="2" hidden="1" customWidth="1"/>
    <col min="6925" max="6925" width="21" style="2" customWidth="1"/>
    <col min="6926" max="6929" width="0" style="2" hidden="1" customWidth="1"/>
    <col min="6930" max="6930" width="54.6875" style="2" customWidth="1"/>
    <col min="6931" max="6931" width="9.6875" style="2" customWidth="1"/>
    <col min="6932" max="6932" width="9.1875" style="2"/>
    <col min="6933" max="6945" width="0" style="2" hidden="1" customWidth="1"/>
    <col min="6946" max="7159" width="9.1875" style="2"/>
    <col min="7160" max="7160" width="12.5" style="2" customWidth="1"/>
    <col min="7161" max="7161" width="10.5" style="2" customWidth="1"/>
    <col min="7162" max="7162" width="25" style="2" customWidth="1"/>
    <col min="7163" max="7163" width="23.6875" style="2" customWidth="1"/>
    <col min="7164" max="7164" width="17.1875" style="2" customWidth="1"/>
    <col min="7165" max="7165" width="16.3125" style="2" customWidth="1"/>
    <col min="7166" max="7166" width="16.5" style="2" customWidth="1"/>
    <col min="7167" max="7167" width="16.1875" style="2" customWidth="1"/>
    <col min="7168" max="7168" width="15.5" style="2" customWidth="1"/>
    <col min="7169" max="7169" width="15" style="2" customWidth="1"/>
    <col min="7170" max="7170" width="15.5" style="2" customWidth="1"/>
    <col min="7171" max="7171" width="15.3125" style="2" customWidth="1"/>
    <col min="7172" max="7172" width="16.5" style="2" customWidth="1"/>
    <col min="7173" max="7173" width="15.3125" style="2" customWidth="1"/>
    <col min="7174" max="7174" width="15" style="2" customWidth="1"/>
    <col min="7175" max="7175" width="15.5" style="2" customWidth="1"/>
    <col min="7176" max="7176" width="27.1875" style="2" customWidth="1"/>
    <col min="7177" max="7177" width="11.5" style="2" customWidth="1"/>
    <col min="7178" max="7178" width="19" style="2" customWidth="1"/>
    <col min="7179" max="7180" width="0" style="2" hidden="1" customWidth="1"/>
    <col min="7181" max="7181" width="21" style="2" customWidth="1"/>
    <col min="7182" max="7185" width="0" style="2" hidden="1" customWidth="1"/>
    <col min="7186" max="7186" width="54.6875" style="2" customWidth="1"/>
    <col min="7187" max="7187" width="9.6875" style="2" customWidth="1"/>
    <col min="7188" max="7188" width="9.1875" style="2"/>
    <col min="7189" max="7201" width="0" style="2" hidden="1" customWidth="1"/>
    <col min="7202" max="7415" width="9.1875" style="2"/>
    <col min="7416" max="7416" width="12.5" style="2" customWidth="1"/>
    <col min="7417" max="7417" width="10.5" style="2" customWidth="1"/>
    <col min="7418" max="7418" width="25" style="2" customWidth="1"/>
    <col min="7419" max="7419" width="23.6875" style="2" customWidth="1"/>
    <col min="7420" max="7420" width="17.1875" style="2" customWidth="1"/>
    <col min="7421" max="7421" width="16.3125" style="2" customWidth="1"/>
    <col min="7422" max="7422" width="16.5" style="2" customWidth="1"/>
    <col min="7423" max="7423" width="16.1875" style="2" customWidth="1"/>
    <col min="7424" max="7424" width="15.5" style="2" customWidth="1"/>
    <col min="7425" max="7425" width="15" style="2" customWidth="1"/>
    <col min="7426" max="7426" width="15.5" style="2" customWidth="1"/>
    <col min="7427" max="7427" width="15.3125" style="2" customWidth="1"/>
    <col min="7428" max="7428" width="16.5" style="2" customWidth="1"/>
    <col min="7429" max="7429" width="15.3125" style="2" customWidth="1"/>
    <col min="7430" max="7430" width="15" style="2" customWidth="1"/>
    <col min="7431" max="7431" width="15.5" style="2" customWidth="1"/>
    <col min="7432" max="7432" width="27.1875" style="2" customWidth="1"/>
    <col min="7433" max="7433" width="11.5" style="2" customWidth="1"/>
    <col min="7434" max="7434" width="19" style="2" customWidth="1"/>
    <col min="7435" max="7436" width="0" style="2" hidden="1" customWidth="1"/>
    <col min="7437" max="7437" width="21" style="2" customWidth="1"/>
    <col min="7438" max="7441" width="0" style="2" hidden="1" customWidth="1"/>
    <col min="7442" max="7442" width="54.6875" style="2" customWidth="1"/>
    <col min="7443" max="7443" width="9.6875" style="2" customWidth="1"/>
    <col min="7444" max="7444" width="9.1875" style="2"/>
    <col min="7445" max="7457" width="0" style="2" hidden="1" customWidth="1"/>
    <col min="7458" max="7671" width="9.1875" style="2"/>
    <col min="7672" max="7672" width="12.5" style="2" customWidth="1"/>
    <col min="7673" max="7673" width="10.5" style="2" customWidth="1"/>
    <col min="7674" max="7674" width="25" style="2" customWidth="1"/>
    <col min="7675" max="7675" width="23.6875" style="2" customWidth="1"/>
    <col min="7676" max="7676" width="17.1875" style="2" customWidth="1"/>
    <col min="7677" max="7677" width="16.3125" style="2" customWidth="1"/>
    <col min="7678" max="7678" width="16.5" style="2" customWidth="1"/>
    <col min="7679" max="7679" width="16.1875" style="2" customWidth="1"/>
    <col min="7680" max="7680" width="15.5" style="2" customWidth="1"/>
    <col min="7681" max="7681" width="15" style="2" customWidth="1"/>
    <col min="7682" max="7682" width="15.5" style="2" customWidth="1"/>
    <col min="7683" max="7683" width="15.3125" style="2" customWidth="1"/>
    <col min="7684" max="7684" width="16.5" style="2" customWidth="1"/>
    <col min="7685" max="7685" width="15.3125" style="2" customWidth="1"/>
    <col min="7686" max="7686" width="15" style="2" customWidth="1"/>
    <col min="7687" max="7687" width="15.5" style="2" customWidth="1"/>
    <col min="7688" max="7688" width="27.1875" style="2" customWidth="1"/>
    <col min="7689" max="7689" width="11.5" style="2" customWidth="1"/>
    <col min="7690" max="7690" width="19" style="2" customWidth="1"/>
    <col min="7691" max="7692" width="0" style="2" hidden="1" customWidth="1"/>
    <col min="7693" max="7693" width="21" style="2" customWidth="1"/>
    <col min="7694" max="7697" width="0" style="2" hidden="1" customWidth="1"/>
    <col min="7698" max="7698" width="54.6875" style="2" customWidth="1"/>
    <col min="7699" max="7699" width="9.6875" style="2" customWidth="1"/>
    <col min="7700" max="7700" width="9.1875" style="2"/>
    <col min="7701" max="7713" width="0" style="2" hidden="1" customWidth="1"/>
    <col min="7714" max="7927" width="9.1875" style="2"/>
    <col min="7928" max="7928" width="12.5" style="2" customWidth="1"/>
    <col min="7929" max="7929" width="10.5" style="2" customWidth="1"/>
    <col min="7930" max="7930" width="25" style="2" customWidth="1"/>
    <col min="7931" max="7931" width="23.6875" style="2" customWidth="1"/>
    <col min="7932" max="7932" width="17.1875" style="2" customWidth="1"/>
    <col min="7933" max="7933" width="16.3125" style="2" customWidth="1"/>
    <col min="7934" max="7934" width="16.5" style="2" customWidth="1"/>
    <col min="7935" max="7935" width="16.1875" style="2" customWidth="1"/>
    <col min="7936" max="7936" width="15.5" style="2" customWidth="1"/>
    <col min="7937" max="7937" width="15" style="2" customWidth="1"/>
    <col min="7938" max="7938" width="15.5" style="2" customWidth="1"/>
    <col min="7939" max="7939" width="15.3125" style="2" customWidth="1"/>
    <col min="7940" max="7940" width="16.5" style="2" customWidth="1"/>
    <col min="7941" max="7941" width="15.3125" style="2" customWidth="1"/>
    <col min="7942" max="7942" width="15" style="2" customWidth="1"/>
    <col min="7943" max="7943" width="15.5" style="2" customWidth="1"/>
    <col min="7944" max="7944" width="27.1875" style="2" customWidth="1"/>
    <col min="7945" max="7945" width="11.5" style="2" customWidth="1"/>
    <col min="7946" max="7946" width="19" style="2" customWidth="1"/>
    <col min="7947" max="7948" width="0" style="2" hidden="1" customWidth="1"/>
    <col min="7949" max="7949" width="21" style="2" customWidth="1"/>
    <col min="7950" max="7953" width="0" style="2" hidden="1" customWidth="1"/>
    <col min="7954" max="7954" width="54.6875" style="2" customWidth="1"/>
    <col min="7955" max="7955" width="9.6875" style="2" customWidth="1"/>
    <col min="7956" max="7956" width="9.1875" style="2"/>
    <col min="7957" max="7969" width="0" style="2" hidden="1" customWidth="1"/>
    <col min="7970" max="8183" width="9.1875" style="2"/>
    <col min="8184" max="8184" width="12.5" style="2" customWidth="1"/>
    <col min="8185" max="8185" width="10.5" style="2" customWidth="1"/>
    <col min="8186" max="8186" width="25" style="2" customWidth="1"/>
    <col min="8187" max="8187" width="23.6875" style="2" customWidth="1"/>
    <col min="8188" max="8188" width="17.1875" style="2" customWidth="1"/>
    <col min="8189" max="8189" width="16.3125" style="2" customWidth="1"/>
    <col min="8190" max="8190" width="16.5" style="2" customWidth="1"/>
    <col min="8191" max="8191" width="16.1875" style="2" customWidth="1"/>
    <col min="8192" max="8192" width="15.5" style="2" customWidth="1"/>
    <col min="8193" max="8193" width="15" style="2" customWidth="1"/>
    <col min="8194" max="8194" width="15.5" style="2" customWidth="1"/>
    <col min="8195" max="8195" width="15.3125" style="2" customWidth="1"/>
    <col min="8196" max="8196" width="16.5" style="2" customWidth="1"/>
    <col min="8197" max="8197" width="15.3125" style="2" customWidth="1"/>
    <col min="8198" max="8198" width="15" style="2" customWidth="1"/>
    <col min="8199" max="8199" width="15.5" style="2" customWidth="1"/>
    <col min="8200" max="8200" width="27.1875" style="2" customWidth="1"/>
    <col min="8201" max="8201" width="11.5" style="2" customWidth="1"/>
    <col min="8202" max="8202" width="19" style="2" customWidth="1"/>
    <col min="8203" max="8204" width="0" style="2" hidden="1" customWidth="1"/>
    <col min="8205" max="8205" width="21" style="2" customWidth="1"/>
    <col min="8206" max="8209" width="0" style="2" hidden="1" customWidth="1"/>
    <col min="8210" max="8210" width="54.6875" style="2" customWidth="1"/>
    <col min="8211" max="8211" width="9.6875" style="2" customWidth="1"/>
    <col min="8212" max="8212" width="9.1875" style="2"/>
    <col min="8213" max="8225" width="0" style="2" hidden="1" customWidth="1"/>
    <col min="8226" max="8439" width="9.1875" style="2"/>
    <col min="8440" max="8440" width="12.5" style="2" customWidth="1"/>
    <col min="8441" max="8441" width="10.5" style="2" customWidth="1"/>
    <col min="8442" max="8442" width="25" style="2" customWidth="1"/>
    <col min="8443" max="8443" width="23.6875" style="2" customWidth="1"/>
    <col min="8444" max="8444" width="17.1875" style="2" customWidth="1"/>
    <col min="8445" max="8445" width="16.3125" style="2" customWidth="1"/>
    <col min="8446" max="8446" width="16.5" style="2" customWidth="1"/>
    <col min="8447" max="8447" width="16.1875" style="2" customWidth="1"/>
    <col min="8448" max="8448" width="15.5" style="2" customWidth="1"/>
    <col min="8449" max="8449" width="15" style="2" customWidth="1"/>
    <col min="8450" max="8450" width="15.5" style="2" customWidth="1"/>
    <col min="8451" max="8451" width="15.3125" style="2" customWidth="1"/>
    <col min="8452" max="8452" width="16.5" style="2" customWidth="1"/>
    <col min="8453" max="8453" width="15.3125" style="2" customWidth="1"/>
    <col min="8454" max="8454" width="15" style="2" customWidth="1"/>
    <col min="8455" max="8455" width="15.5" style="2" customWidth="1"/>
    <col min="8456" max="8456" width="27.1875" style="2" customWidth="1"/>
    <col min="8457" max="8457" width="11.5" style="2" customWidth="1"/>
    <col min="8458" max="8458" width="19" style="2" customWidth="1"/>
    <col min="8459" max="8460" width="0" style="2" hidden="1" customWidth="1"/>
    <col min="8461" max="8461" width="21" style="2" customWidth="1"/>
    <col min="8462" max="8465" width="0" style="2" hidden="1" customWidth="1"/>
    <col min="8466" max="8466" width="54.6875" style="2" customWidth="1"/>
    <col min="8467" max="8467" width="9.6875" style="2" customWidth="1"/>
    <col min="8468" max="8468" width="9.1875" style="2"/>
    <col min="8469" max="8481" width="0" style="2" hidden="1" customWidth="1"/>
    <col min="8482" max="8695" width="9.1875" style="2"/>
    <col min="8696" max="8696" width="12.5" style="2" customWidth="1"/>
    <col min="8697" max="8697" width="10.5" style="2" customWidth="1"/>
    <col min="8698" max="8698" width="25" style="2" customWidth="1"/>
    <col min="8699" max="8699" width="23.6875" style="2" customWidth="1"/>
    <col min="8700" max="8700" width="17.1875" style="2" customWidth="1"/>
    <col min="8701" max="8701" width="16.3125" style="2" customWidth="1"/>
    <col min="8702" max="8702" width="16.5" style="2" customWidth="1"/>
    <col min="8703" max="8703" width="16.1875" style="2" customWidth="1"/>
    <col min="8704" max="8704" width="15.5" style="2" customWidth="1"/>
    <col min="8705" max="8705" width="15" style="2" customWidth="1"/>
    <col min="8706" max="8706" width="15.5" style="2" customWidth="1"/>
    <col min="8707" max="8707" width="15.3125" style="2" customWidth="1"/>
    <col min="8708" max="8708" width="16.5" style="2" customWidth="1"/>
    <col min="8709" max="8709" width="15.3125" style="2" customWidth="1"/>
    <col min="8710" max="8710" width="15" style="2" customWidth="1"/>
    <col min="8711" max="8711" width="15.5" style="2" customWidth="1"/>
    <col min="8712" max="8712" width="27.1875" style="2" customWidth="1"/>
    <col min="8713" max="8713" width="11.5" style="2" customWidth="1"/>
    <col min="8714" max="8714" width="19" style="2" customWidth="1"/>
    <col min="8715" max="8716" width="0" style="2" hidden="1" customWidth="1"/>
    <col min="8717" max="8717" width="21" style="2" customWidth="1"/>
    <col min="8718" max="8721" width="0" style="2" hidden="1" customWidth="1"/>
    <col min="8722" max="8722" width="54.6875" style="2" customWidth="1"/>
    <col min="8723" max="8723" width="9.6875" style="2" customWidth="1"/>
    <col min="8724" max="8724" width="9.1875" style="2"/>
    <col min="8725" max="8737" width="0" style="2" hidden="1" customWidth="1"/>
    <col min="8738" max="8951" width="9.1875" style="2"/>
    <col min="8952" max="8952" width="12.5" style="2" customWidth="1"/>
    <col min="8953" max="8953" width="10.5" style="2" customWidth="1"/>
    <col min="8954" max="8954" width="25" style="2" customWidth="1"/>
    <col min="8955" max="8955" width="23.6875" style="2" customWidth="1"/>
    <col min="8956" max="8956" width="17.1875" style="2" customWidth="1"/>
    <col min="8957" max="8957" width="16.3125" style="2" customWidth="1"/>
    <col min="8958" max="8958" width="16.5" style="2" customWidth="1"/>
    <col min="8959" max="8959" width="16.1875" style="2" customWidth="1"/>
    <col min="8960" max="8960" width="15.5" style="2" customWidth="1"/>
    <col min="8961" max="8961" width="15" style="2" customWidth="1"/>
    <col min="8962" max="8962" width="15.5" style="2" customWidth="1"/>
    <col min="8963" max="8963" width="15.3125" style="2" customWidth="1"/>
    <col min="8964" max="8964" width="16.5" style="2" customWidth="1"/>
    <col min="8965" max="8965" width="15.3125" style="2" customWidth="1"/>
    <col min="8966" max="8966" width="15" style="2" customWidth="1"/>
    <col min="8967" max="8967" width="15.5" style="2" customWidth="1"/>
    <col min="8968" max="8968" width="27.1875" style="2" customWidth="1"/>
    <col min="8969" max="8969" width="11.5" style="2" customWidth="1"/>
    <col min="8970" max="8970" width="19" style="2" customWidth="1"/>
    <col min="8971" max="8972" width="0" style="2" hidden="1" customWidth="1"/>
    <col min="8973" max="8973" width="21" style="2" customWidth="1"/>
    <col min="8974" max="8977" width="0" style="2" hidden="1" customWidth="1"/>
    <col min="8978" max="8978" width="54.6875" style="2" customWidth="1"/>
    <col min="8979" max="8979" width="9.6875" style="2" customWidth="1"/>
    <col min="8980" max="8980" width="9.1875" style="2"/>
    <col min="8981" max="8993" width="0" style="2" hidden="1" customWidth="1"/>
    <col min="8994" max="9207" width="9.1875" style="2"/>
    <col min="9208" max="9208" width="12.5" style="2" customWidth="1"/>
    <col min="9209" max="9209" width="10.5" style="2" customWidth="1"/>
    <col min="9210" max="9210" width="25" style="2" customWidth="1"/>
    <col min="9211" max="9211" width="23.6875" style="2" customWidth="1"/>
    <col min="9212" max="9212" width="17.1875" style="2" customWidth="1"/>
    <col min="9213" max="9213" width="16.3125" style="2" customWidth="1"/>
    <col min="9214" max="9214" width="16.5" style="2" customWidth="1"/>
    <col min="9215" max="9215" width="16.1875" style="2" customWidth="1"/>
    <col min="9216" max="9216" width="15.5" style="2" customWidth="1"/>
    <col min="9217" max="9217" width="15" style="2" customWidth="1"/>
    <col min="9218" max="9218" width="15.5" style="2" customWidth="1"/>
    <col min="9219" max="9219" width="15.3125" style="2" customWidth="1"/>
    <col min="9220" max="9220" width="16.5" style="2" customWidth="1"/>
    <col min="9221" max="9221" width="15.3125" style="2" customWidth="1"/>
    <col min="9222" max="9222" width="15" style="2" customWidth="1"/>
    <col min="9223" max="9223" width="15.5" style="2" customWidth="1"/>
    <col min="9224" max="9224" width="27.1875" style="2" customWidth="1"/>
    <col min="9225" max="9225" width="11.5" style="2" customWidth="1"/>
    <col min="9226" max="9226" width="19" style="2" customWidth="1"/>
    <col min="9227" max="9228" width="0" style="2" hidden="1" customWidth="1"/>
    <col min="9229" max="9229" width="21" style="2" customWidth="1"/>
    <col min="9230" max="9233" width="0" style="2" hidden="1" customWidth="1"/>
    <col min="9234" max="9234" width="54.6875" style="2" customWidth="1"/>
    <col min="9235" max="9235" width="9.6875" style="2" customWidth="1"/>
    <col min="9236" max="9236" width="9.1875" style="2"/>
    <col min="9237" max="9249" width="0" style="2" hidden="1" customWidth="1"/>
    <col min="9250" max="9463" width="9.1875" style="2"/>
    <col min="9464" max="9464" width="12.5" style="2" customWidth="1"/>
    <col min="9465" max="9465" width="10.5" style="2" customWidth="1"/>
    <col min="9466" max="9466" width="25" style="2" customWidth="1"/>
    <col min="9467" max="9467" width="23.6875" style="2" customWidth="1"/>
    <col min="9468" max="9468" width="17.1875" style="2" customWidth="1"/>
    <col min="9469" max="9469" width="16.3125" style="2" customWidth="1"/>
    <col min="9470" max="9470" width="16.5" style="2" customWidth="1"/>
    <col min="9471" max="9471" width="16.1875" style="2" customWidth="1"/>
    <col min="9472" max="9472" width="15.5" style="2" customWidth="1"/>
    <col min="9473" max="9473" width="15" style="2" customWidth="1"/>
    <col min="9474" max="9474" width="15.5" style="2" customWidth="1"/>
    <col min="9475" max="9475" width="15.3125" style="2" customWidth="1"/>
    <col min="9476" max="9476" width="16.5" style="2" customWidth="1"/>
    <col min="9477" max="9477" width="15.3125" style="2" customWidth="1"/>
    <col min="9478" max="9478" width="15" style="2" customWidth="1"/>
    <col min="9479" max="9479" width="15.5" style="2" customWidth="1"/>
    <col min="9480" max="9480" width="27.1875" style="2" customWidth="1"/>
    <col min="9481" max="9481" width="11.5" style="2" customWidth="1"/>
    <col min="9482" max="9482" width="19" style="2" customWidth="1"/>
    <col min="9483" max="9484" width="0" style="2" hidden="1" customWidth="1"/>
    <col min="9485" max="9485" width="21" style="2" customWidth="1"/>
    <col min="9486" max="9489" width="0" style="2" hidden="1" customWidth="1"/>
    <col min="9490" max="9490" width="54.6875" style="2" customWidth="1"/>
    <col min="9491" max="9491" width="9.6875" style="2" customWidth="1"/>
    <col min="9492" max="9492" width="9.1875" style="2"/>
    <col min="9493" max="9505" width="0" style="2" hidden="1" customWidth="1"/>
    <col min="9506" max="9719" width="9.1875" style="2"/>
    <col min="9720" max="9720" width="12.5" style="2" customWidth="1"/>
    <col min="9721" max="9721" width="10.5" style="2" customWidth="1"/>
    <col min="9722" max="9722" width="25" style="2" customWidth="1"/>
    <col min="9723" max="9723" width="23.6875" style="2" customWidth="1"/>
    <col min="9724" max="9724" width="17.1875" style="2" customWidth="1"/>
    <col min="9725" max="9725" width="16.3125" style="2" customWidth="1"/>
    <col min="9726" max="9726" width="16.5" style="2" customWidth="1"/>
    <col min="9727" max="9727" width="16.1875" style="2" customWidth="1"/>
    <col min="9728" max="9728" width="15.5" style="2" customWidth="1"/>
    <col min="9729" max="9729" width="15" style="2" customWidth="1"/>
    <col min="9730" max="9730" width="15.5" style="2" customWidth="1"/>
    <col min="9731" max="9731" width="15.3125" style="2" customWidth="1"/>
    <col min="9732" max="9732" width="16.5" style="2" customWidth="1"/>
    <col min="9733" max="9733" width="15.3125" style="2" customWidth="1"/>
    <col min="9734" max="9734" width="15" style="2" customWidth="1"/>
    <col min="9735" max="9735" width="15.5" style="2" customWidth="1"/>
    <col min="9736" max="9736" width="27.1875" style="2" customWidth="1"/>
    <col min="9737" max="9737" width="11.5" style="2" customWidth="1"/>
    <col min="9738" max="9738" width="19" style="2" customWidth="1"/>
    <col min="9739" max="9740" width="0" style="2" hidden="1" customWidth="1"/>
    <col min="9741" max="9741" width="21" style="2" customWidth="1"/>
    <col min="9742" max="9745" width="0" style="2" hidden="1" customWidth="1"/>
    <col min="9746" max="9746" width="54.6875" style="2" customWidth="1"/>
    <col min="9747" max="9747" width="9.6875" style="2" customWidth="1"/>
    <col min="9748" max="9748" width="9.1875" style="2"/>
    <col min="9749" max="9761" width="0" style="2" hidden="1" customWidth="1"/>
    <col min="9762" max="9975" width="9.1875" style="2"/>
    <col min="9976" max="9976" width="12.5" style="2" customWidth="1"/>
    <col min="9977" max="9977" width="10.5" style="2" customWidth="1"/>
    <col min="9978" max="9978" width="25" style="2" customWidth="1"/>
    <col min="9979" max="9979" width="23.6875" style="2" customWidth="1"/>
    <col min="9980" max="9980" width="17.1875" style="2" customWidth="1"/>
    <col min="9981" max="9981" width="16.3125" style="2" customWidth="1"/>
    <col min="9982" max="9982" width="16.5" style="2" customWidth="1"/>
    <col min="9983" max="9983" width="16.1875" style="2" customWidth="1"/>
    <col min="9984" max="9984" width="15.5" style="2" customWidth="1"/>
    <col min="9985" max="9985" width="15" style="2" customWidth="1"/>
    <col min="9986" max="9986" width="15.5" style="2" customWidth="1"/>
    <col min="9987" max="9987" width="15.3125" style="2" customWidth="1"/>
    <col min="9988" max="9988" width="16.5" style="2" customWidth="1"/>
    <col min="9989" max="9989" width="15.3125" style="2" customWidth="1"/>
    <col min="9990" max="9990" width="15" style="2" customWidth="1"/>
    <col min="9991" max="9991" width="15.5" style="2" customWidth="1"/>
    <col min="9992" max="9992" width="27.1875" style="2" customWidth="1"/>
    <col min="9993" max="9993" width="11.5" style="2" customWidth="1"/>
    <col min="9994" max="9994" width="19" style="2" customWidth="1"/>
    <col min="9995" max="9996" width="0" style="2" hidden="1" customWidth="1"/>
    <col min="9997" max="9997" width="21" style="2" customWidth="1"/>
    <col min="9998" max="10001" width="0" style="2" hidden="1" customWidth="1"/>
    <col min="10002" max="10002" width="54.6875" style="2" customWidth="1"/>
    <col min="10003" max="10003" width="9.6875" style="2" customWidth="1"/>
    <col min="10004" max="10004" width="9.1875" style="2"/>
    <col min="10005" max="10017" width="0" style="2" hidden="1" customWidth="1"/>
    <col min="10018" max="10231" width="9.1875" style="2"/>
    <col min="10232" max="10232" width="12.5" style="2" customWidth="1"/>
    <col min="10233" max="10233" width="10.5" style="2" customWidth="1"/>
    <col min="10234" max="10234" width="25" style="2" customWidth="1"/>
    <col min="10235" max="10235" width="23.6875" style="2" customWidth="1"/>
    <col min="10236" max="10236" width="17.1875" style="2" customWidth="1"/>
    <col min="10237" max="10237" width="16.3125" style="2" customWidth="1"/>
    <col min="10238" max="10238" width="16.5" style="2" customWidth="1"/>
    <col min="10239" max="10239" width="16.1875" style="2" customWidth="1"/>
    <col min="10240" max="10240" width="15.5" style="2" customWidth="1"/>
    <col min="10241" max="10241" width="15" style="2" customWidth="1"/>
    <col min="10242" max="10242" width="15.5" style="2" customWidth="1"/>
    <col min="10243" max="10243" width="15.3125" style="2" customWidth="1"/>
    <col min="10244" max="10244" width="16.5" style="2" customWidth="1"/>
    <col min="10245" max="10245" width="15.3125" style="2" customWidth="1"/>
    <col min="10246" max="10246" width="15" style="2" customWidth="1"/>
    <col min="10247" max="10247" width="15.5" style="2" customWidth="1"/>
    <col min="10248" max="10248" width="27.1875" style="2" customWidth="1"/>
    <col min="10249" max="10249" width="11.5" style="2" customWidth="1"/>
    <col min="10250" max="10250" width="19" style="2" customWidth="1"/>
    <col min="10251" max="10252" width="0" style="2" hidden="1" customWidth="1"/>
    <col min="10253" max="10253" width="21" style="2" customWidth="1"/>
    <col min="10254" max="10257" width="0" style="2" hidden="1" customWidth="1"/>
    <col min="10258" max="10258" width="54.6875" style="2" customWidth="1"/>
    <col min="10259" max="10259" width="9.6875" style="2" customWidth="1"/>
    <col min="10260" max="10260" width="9.1875" style="2"/>
    <col min="10261" max="10273" width="0" style="2" hidden="1" customWidth="1"/>
    <col min="10274" max="10487" width="9.1875" style="2"/>
    <col min="10488" max="10488" width="12.5" style="2" customWidth="1"/>
    <col min="10489" max="10489" width="10.5" style="2" customWidth="1"/>
    <col min="10490" max="10490" width="25" style="2" customWidth="1"/>
    <col min="10491" max="10491" width="23.6875" style="2" customWidth="1"/>
    <col min="10492" max="10492" width="17.1875" style="2" customWidth="1"/>
    <col min="10493" max="10493" width="16.3125" style="2" customWidth="1"/>
    <col min="10494" max="10494" width="16.5" style="2" customWidth="1"/>
    <col min="10495" max="10495" width="16.1875" style="2" customWidth="1"/>
    <col min="10496" max="10496" width="15.5" style="2" customWidth="1"/>
    <col min="10497" max="10497" width="15" style="2" customWidth="1"/>
    <col min="10498" max="10498" width="15.5" style="2" customWidth="1"/>
    <col min="10499" max="10499" width="15.3125" style="2" customWidth="1"/>
    <col min="10500" max="10500" width="16.5" style="2" customWidth="1"/>
    <col min="10501" max="10501" width="15.3125" style="2" customWidth="1"/>
    <col min="10502" max="10502" width="15" style="2" customWidth="1"/>
    <col min="10503" max="10503" width="15.5" style="2" customWidth="1"/>
    <col min="10504" max="10504" width="27.1875" style="2" customWidth="1"/>
    <col min="10505" max="10505" width="11.5" style="2" customWidth="1"/>
    <col min="10506" max="10506" width="19" style="2" customWidth="1"/>
    <col min="10507" max="10508" width="0" style="2" hidden="1" customWidth="1"/>
    <col min="10509" max="10509" width="21" style="2" customWidth="1"/>
    <col min="10510" max="10513" width="0" style="2" hidden="1" customWidth="1"/>
    <col min="10514" max="10514" width="54.6875" style="2" customWidth="1"/>
    <col min="10515" max="10515" width="9.6875" style="2" customWidth="1"/>
    <col min="10516" max="10516" width="9.1875" style="2"/>
    <col min="10517" max="10529" width="0" style="2" hidden="1" customWidth="1"/>
    <col min="10530" max="10743" width="9.1875" style="2"/>
    <col min="10744" max="10744" width="12.5" style="2" customWidth="1"/>
    <col min="10745" max="10745" width="10.5" style="2" customWidth="1"/>
    <col min="10746" max="10746" width="25" style="2" customWidth="1"/>
    <col min="10747" max="10747" width="23.6875" style="2" customWidth="1"/>
    <col min="10748" max="10748" width="17.1875" style="2" customWidth="1"/>
    <col min="10749" max="10749" width="16.3125" style="2" customWidth="1"/>
    <col min="10750" max="10750" width="16.5" style="2" customWidth="1"/>
    <col min="10751" max="10751" width="16.1875" style="2" customWidth="1"/>
    <col min="10752" max="10752" width="15.5" style="2" customWidth="1"/>
    <col min="10753" max="10753" width="15" style="2" customWidth="1"/>
    <col min="10754" max="10754" width="15.5" style="2" customWidth="1"/>
    <col min="10755" max="10755" width="15.3125" style="2" customWidth="1"/>
    <col min="10756" max="10756" width="16.5" style="2" customWidth="1"/>
    <col min="10757" max="10757" width="15.3125" style="2" customWidth="1"/>
    <col min="10758" max="10758" width="15" style="2" customWidth="1"/>
    <col min="10759" max="10759" width="15.5" style="2" customWidth="1"/>
    <col min="10760" max="10760" width="27.1875" style="2" customWidth="1"/>
    <col min="10761" max="10761" width="11.5" style="2" customWidth="1"/>
    <col min="10762" max="10762" width="19" style="2" customWidth="1"/>
    <col min="10763" max="10764" width="0" style="2" hidden="1" customWidth="1"/>
    <col min="10765" max="10765" width="21" style="2" customWidth="1"/>
    <col min="10766" max="10769" width="0" style="2" hidden="1" customWidth="1"/>
    <col min="10770" max="10770" width="54.6875" style="2" customWidth="1"/>
    <col min="10771" max="10771" width="9.6875" style="2" customWidth="1"/>
    <col min="10772" max="10772" width="9.1875" style="2"/>
    <col min="10773" max="10785" width="0" style="2" hidden="1" customWidth="1"/>
    <col min="10786" max="10999" width="9.1875" style="2"/>
    <col min="11000" max="11000" width="12.5" style="2" customWidth="1"/>
    <col min="11001" max="11001" width="10.5" style="2" customWidth="1"/>
    <col min="11002" max="11002" width="25" style="2" customWidth="1"/>
    <col min="11003" max="11003" width="23.6875" style="2" customWidth="1"/>
    <col min="11004" max="11004" width="17.1875" style="2" customWidth="1"/>
    <col min="11005" max="11005" width="16.3125" style="2" customWidth="1"/>
    <col min="11006" max="11006" width="16.5" style="2" customWidth="1"/>
    <col min="11007" max="11007" width="16.1875" style="2" customWidth="1"/>
    <col min="11008" max="11008" width="15.5" style="2" customWidth="1"/>
    <col min="11009" max="11009" width="15" style="2" customWidth="1"/>
    <col min="11010" max="11010" width="15.5" style="2" customWidth="1"/>
    <col min="11011" max="11011" width="15.3125" style="2" customWidth="1"/>
    <col min="11012" max="11012" width="16.5" style="2" customWidth="1"/>
    <col min="11013" max="11013" width="15.3125" style="2" customWidth="1"/>
    <col min="11014" max="11014" width="15" style="2" customWidth="1"/>
    <col min="11015" max="11015" width="15.5" style="2" customWidth="1"/>
    <col min="11016" max="11016" width="27.1875" style="2" customWidth="1"/>
    <col min="11017" max="11017" width="11.5" style="2" customWidth="1"/>
    <col min="11018" max="11018" width="19" style="2" customWidth="1"/>
    <col min="11019" max="11020" width="0" style="2" hidden="1" customWidth="1"/>
    <col min="11021" max="11021" width="21" style="2" customWidth="1"/>
    <col min="11022" max="11025" width="0" style="2" hidden="1" customWidth="1"/>
    <col min="11026" max="11026" width="54.6875" style="2" customWidth="1"/>
    <col min="11027" max="11027" width="9.6875" style="2" customWidth="1"/>
    <col min="11028" max="11028" width="9.1875" style="2"/>
    <col min="11029" max="11041" width="0" style="2" hidden="1" customWidth="1"/>
    <col min="11042" max="11255" width="9.1875" style="2"/>
    <col min="11256" max="11256" width="12.5" style="2" customWidth="1"/>
    <col min="11257" max="11257" width="10.5" style="2" customWidth="1"/>
    <col min="11258" max="11258" width="25" style="2" customWidth="1"/>
    <col min="11259" max="11259" width="23.6875" style="2" customWidth="1"/>
    <col min="11260" max="11260" width="17.1875" style="2" customWidth="1"/>
    <col min="11261" max="11261" width="16.3125" style="2" customWidth="1"/>
    <col min="11262" max="11262" width="16.5" style="2" customWidth="1"/>
    <col min="11263" max="11263" width="16.1875" style="2" customWidth="1"/>
    <col min="11264" max="11264" width="15.5" style="2" customWidth="1"/>
    <col min="11265" max="11265" width="15" style="2" customWidth="1"/>
    <col min="11266" max="11266" width="15.5" style="2" customWidth="1"/>
    <col min="11267" max="11267" width="15.3125" style="2" customWidth="1"/>
    <col min="11268" max="11268" width="16.5" style="2" customWidth="1"/>
    <col min="11269" max="11269" width="15.3125" style="2" customWidth="1"/>
    <col min="11270" max="11270" width="15" style="2" customWidth="1"/>
    <col min="11271" max="11271" width="15.5" style="2" customWidth="1"/>
    <col min="11272" max="11272" width="27.1875" style="2" customWidth="1"/>
    <col min="11273" max="11273" width="11.5" style="2" customWidth="1"/>
    <col min="11274" max="11274" width="19" style="2" customWidth="1"/>
    <col min="11275" max="11276" width="0" style="2" hidden="1" customWidth="1"/>
    <col min="11277" max="11277" width="21" style="2" customWidth="1"/>
    <col min="11278" max="11281" width="0" style="2" hidden="1" customWidth="1"/>
    <col min="11282" max="11282" width="54.6875" style="2" customWidth="1"/>
    <col min="11283" max="11283" width="9.6875" style="2" customWidth="1"/>
    <col min="11284" max="11284" width="9.1875" style="2"/>
    <col min="11285" max="11297" width="0" style="2" hidden="1" customWidth="1"/>
    <col min="11298" max="11511" width="9.1875" style="2"/>
    <col min="11512" max="11512" width="12.5" style="2" customWidth="1"/>
    <col min="11513" max="11513" width="10.5" style="2" customWidth="1"/>
    <col min="11514" max="11514" width="25" style="2" customWidth="1"/>
    <col min="11515" max="11515" width="23.6875" style="2" customWidth="1"/>
    <col min="11516" max="11516" width="17.1875" style="2" customWidth="1"/>
    <col min="11517" max="11517" width="16.3125" style="2" customWidth="1"/>
    <col min="11518" max="11518" width="16.5" style="2" customWidth="1"/>
    <col min="11519" max="11519" width="16.1875" style="2" customWidth="1"/>
    <col min="11520" max="11520" width="15.5" style="2" customWidth="1"/>
    <col min="11521" max="11521" width="15" style="2" customWidth="1"/>
    <col min="11522" max="11522" width="15.5" style="2" customWidth="1"/>
    <col min="11523" max="11523" width="15.3125" style="2" customWidth="1"/>
    <col min="11524" max="11524" width="16.5" style="2" customWidth="1"/>
    <col min="11525" max="11525" width="15.3125" style="2" customWidth="1"/>
    <col min="11526" max="11526" width="15" style="2" customWidth="1"/>
    <col min="11527" max="11527" width="15.5" style="2" customWidth="1"/>
    <col min="11528" max="11528" width="27.1875" style="2" customWidth="1"/>
    <col min="11529" max="11529" width="11.5" style="2" customWidth="1"/>
    <col min="11530" max="11530" width="19" style="2" customWidth="1"/>
    <col min="11531" max="11532" width="0" style="2" hidden="1" customWidth="1"/>
    <col min="11533" max="11533" width="21" style="2" customWidth="1"/>
    <col min="11534" max="11537" width="0" style="2" hidden="1" customWidth="1"/>
    <col min="11538" max="11538" width="54.6875" style="2" customWidth="1"/>
    <col min="11539" max="11539" width="9.6875" style="2" customWidth="1"/>
    <col min="11540" max="11540" width="9.1875" style="2"/>
    <col min="11541" max="11553" width="0" style="2" hidden="1" customWidth="1"/>
    <col min="11554" max="11767" width="9.1875" style="2"/>
    <col min="11768" max="11768" width="12.5" style="2" customWidth="1"/>
    <col min="11769" max="11769" width="10.5" style="2" customWidth="1"/>
    <col min="11770" max="11770" width="25" style="2" customWidth="1"/>
    <col min="11771" max="11771" width="23.6875" style="2" customWidth="1"/>
    <col min="11772" max="11772" width="17.1875" style="2" customWidth="1"/>
    <col min="11773" max="11773" width="16.3125" style="2" customWidth="1"/>
    <col min="11774" max="11774" width="16.5" style="2" customWidth="1"/>
    <col min="11775" max="11775" width="16.1875" style="2" customWidth="1"/>
    <col min="11776" max="11776" width="15.5" style="2" customWidth="1"/>
    <col min="11777" max="11777" width="15" style="2" customWidth="1"/>
    <col min="11778" max="11778" width="15.5" style="2" customWidth="1"/>
    <col min="11779" max="11779" width="15.3125" style="2" customWidth="1"/>
    <col min="11780" max="11780" width="16.5" style="2" customWidth="1"/>
    <col min="11781" max="11781" width="15.3125" style="2" customWidth="1"/>
    <col min="11782" max="11782" width="15" style="2" customWidth="1"/>
    <col min="11783" max="11783" width="15.5" style="2" customWidth="1"/>
    <col min="11784" max="11784" width="27.1875" style="2" customWidth="1"/>
    <col min="11785" max="11785" width="11.5" style="2" customWidth="1"/>
    <col min="11786" max="11786" width="19" style="2" customWidth="1"/>
    <col min="11787" max="11788" width="0" style="2" hidden="1" customWidth="1"/>
    <col min="11789" max="11789" width="21" style="2" customWidth="1"/>
    <col min="11790" max="11793" width="0" style="2" hidden="1" customWidth="1"/>
    <col min="11794" max="11794" width="54.6875" style="2" customWidth="1"/>
    <col min="11795" max="11795" width="9.6875" style="2" customWidth="1"/>
    <col min="11796" max="11796" width="9.1875" style="2"/>
    <col min="11797" max="11809" width="0" style="2" hidden="1" customWidth="1"/>
    <col min="11810" max="12023" width="9.1875" style="2"/>
    <col min="12024" max="12024" width="12.5" style="2" customWidth="1"/>
    <col min="12025" max="12025" width="10.5" style="2" customWidth="1"/>
    <col min="12026" max="12026" width="25" style="2" customWidth="1"/>
    <col min="12027" max="12027" width="23.6875" style="2" customWidth="1"/>
    <col min="12028" max="12028" width="17.1875" style="2" customWidth="1"/>
    <col min="12029" max="12029" width="16.3125" style="2" customWidth="1"/>
    <col min="12030" max="12030" width="16.5" style="2" customWidth="1"/>
    <col min="12031" max="12031" width="16.1875" style="2" customWidth="1"/>
    <col min="12032" max="12032" width="15.5" style="2" customWidth="1"/>
    <col min="12033" max="12033" width="15" style="2" customWidth="1"/>
    <col min="12034" max="12034" width="15.5" style="2" customWidth="1"/>
    <col min="12035" max="12035" width="15.3125" style="2" customWidth="1"/>
    <col min="12036" max="12036" width="16.5" style="2" customWidth="1"/>
    <col min="12037" max="12037" width="15.3125" style="2" customWidth="1"/>
    <col min="12038" max="12038" width="15" style="2" customWidth="1"/>
    <col min="12039" max="12039" width="15.5" style="2" customWidth="1"/>
    <col min="12040" max="12040" width="27.1875" style="2" customWidth="1"/>
    <col min="12041" max="12041" width="11.5" style="2" customWidth="1"/>
    <col min="12042" max="12042" width="19" style="2" customWidth="1"/>
    <col min="12043" max="12044" width="0" style="2" hidden="1" customWidth="1"/>
    <col min="12045" max="12045" width="21" style="2" customWidth="1"/>
    <col min="12046" max="12049" width="0" style="2" hidden="1" customWidth="1"/>
    <col min="12050" max="12050" width="54.6875" style="2" customWidth="1"/>
    <col min="12051" max="12051" width="9.6875" style="2" customWidth="1"/>
    <col min="12052" max="12052" width="9.1875" style="2"/>
    <col min="12053" max="12065" width="0" style="2" hidden="1" customWidth="1"/>
    <col min="12066" max="12279" width="9.1875" style="2"/>
    <col min="12280" max="12280" width="12.5" style="2" customWidth="1"/>
    <col min="12281" max="12281" width="10.5" style="2" customWidth="1"/>
    <col min="12282" max="12282" width="25" style="2" customWidth="1"/>
    <col min="12283" max="12283" width="23.6875" style="2" customWidth="1"/>
    <col min="12284" max="12284" width="17.1875" style="2" customWidth="1"/>
    <col min="12285" max="12285" width="16.3125" style="2" customWidth="1"/>
    <col min="12286" max="12286" width="16.5" style="2" customWidth="1"/>
    <col min="12287" max="12287" width="16.1875" style="2" customWidth="1"/>
    <col min="12288" max="12288" width="15.5" style="2" customWidth="1"/>
    <col min="12289" max="12289" width="15" style="2" customWidth="1"/>
    <col min="12290" max="12290" width="15.5" style="2" customWidth="1"/>
    <col min="12291" max="12291" width="15.3125" style="2" customWidth="1"/>
    <col min="12292" max="12292" width="16.5" style="2" customWidth="1"/>
    <col min="12293" max="12293" width="15.3125" style="2" customWidth="1"/>
    <col min="12294" max="12294" width="15" style="2" customWidth="1"/>
    <col min="12295" max="12295" width="15.5" style="2" customWidth="1"/>
    <col min="12296" max="12296" width="27.1875" style="2" customWidth="1"/>
    <col min="12297" max="12297" width="11.5" style="2" customWidth="1"/>
    <col min="12298" max="12298" width="19" style="2" customWidth="1"/>
    <col min="12299" max="12300" width="0" style="2" hidden="1" customWidth="1"/>
    <col min="12301" max="12301" width="21" style="2" customWidth="1"/>
    <col min="12302" max="12305" width="0" style="2" hidden="1" customWidth="1"/>
    <col min="12306" max="12306" width="54.6875" style="2" customWidth="1"/>
    <col min="12307" max="12307" width="9.6875" style="2" customWidth="1"/>
    <col min="12308" max="12308" width="9.1875" style="2"/>
    <col min="12309" max="12321" width="0" style="2" hidden="1" customWidth="1"/>
    <col min="12322" max="12535" width="9.1875" style="2"/>
    <col min="12536" max="12536" width="12.5" style="2" customWidth="1"/>
    <col min="12537" max="12537" width="10.5" style="2" customWidth="1"/>
    <col min="12538" max="12538" width="25" style="2" customWidth="1"/>
    <col min="12539" max="12539" width="23.6875" style="2" customWidth="1"/>
    <col min="12540" max="12540" width="17.1875" style="2" customWidth="1"/>
    <col min="12541" max="12541" width="16.3125" style="2" customWidth="1"/>
    <col min="12542" max="12542" width="16.5" style="2" customWidth="1"/>
    <col min="12543" max="12543" width="16.1875" style="2" customWidth="1"/>
    <col min="12544" max="12544" width="15.5" style="2" customWidth="1"/>
    <col min="12545" max="12545" width="15" style="2" customWidth="1"/>
    <col min="12546" max="12546" width="15.5" style="2" customWidth="1"/>
    <col min="12547" max="12547" width="15.3125" style="2" customWidth="1"/>
    <col min="12548" max="12548" width="16.5" style="2" customWidth="1"/>
    <col min="12549" max="12549" width="15.3125" style="2" customWidth="1"/>
    <col min="12550" max="12550" width="15" style="2" customWidth="1"/>
    <col min="12551" max="12551" width="15.5" style="2" customWidth="1"/>
    <col min="12552" max="12552" width="27.1875" style="2" customWidth="1"/>
    <col min="12553" max="12553" width="11.5" style="2" customWidth="1"/>
    <col min="12554" max="12554" width="19" style="2" customWidth="1"/>
    <col min="12555" max="12556" width="0" style="2" hidden="1" customWidth="1"/>
    <col min="12557" max="12557" width="21" style="2" customWidth="1"/>
    <col min="12558" max="12561" width="0" style="2" hidden="1" customWidth="1"/>
    <col min="12562" max="12562" width="54.6875" style="2" customWidth="1"/>
    <col min="12563" max="12563" width="9.6875" style="2" customWidth="1"/>
    <col min="12564" max="12564" width="9.1875" style="2"/>
    <col min="12565" max="12577" width="0" style="2" hidden="1" customWidth="1"/>
    <col min="12578" max="12791" width="9.1875" style="2"/>
    <col min="12792" max="12792" width="12.5" style="2" customWidth="1"/>
    <col min="12793" max="12793" width="10.5" style="2" customWidth="1"/>
    <col min="12794" max="12794" width="25" style="2" customWidth="1"/>
    <col min="12795" max="12795" width="23.6875" style="2" customWidth="1"/>
    <col min="12796" max="12796" width="17.1875" style="2" customWidth="1"/>
    <col min="12797" max="12797" width="16.3125" style="2" customWidth="1"/>
    <col min="12798" max="12798" width="16.5" style="2" customWidth="1"/>
    <col min="12799" max="12799" width="16.1875" style="2" customWidth="1"/>
    <col min="12800" max="12800" width="15.5" style="2" customWidth="1"/>
    <col min="12801" max="12801" width="15" style="2" customWidth="1"/>
    <col min="12802" max="12802" width="15.5" style="2" customWidth="1"/>
    <col min="12803" max="12803" width="15.3125" style="2" customWidth="1"/>
    <col min="12804" max="12804" width="16.5" style="2" customWidth="1"/>
    <col min="12805" max="12805" width="15.3125" style="2" customWidth="1"/>
    <col min="12806" max="12806" width="15" style="2" customWidth="1"/>
    <col min="12807" max="12807" width="15.5" style="2" customWidth="1"/>
    <col min="12808" max="12808" width="27.1875" style="2" customWidth="1"/>
    <col min="12809" max="12809" width="11.5" style="2" customWidth="1"/>
    <col min="12810" max="12810" width="19" style="2" customWidth="1"/>
    <col min="12811" max="12812" width="0" style="2" hidden="1" customWidth="1"/>
    <col min="12813" max="12813" width="21" style="2" customWidth="1"/>
    <col min="12814" max="12817" width="0" style="2" hidden="1" customWidth="1"/>
    <col min="12818" max="12818" width="54.6875" style="2" customWidth="1"/>
    <col min="12819" max="12819" width="9.6875" style="2" customWidth="1"/>
    <col min="12820" max="12820" width="9.1875" style="2"/>
    <col min="12821" max="12833" width="0" style="2" hidden="1" customWidth="1"/>
    <col min="12834" max="13047" width="9.1875" style="2"/>
    <col min="13048" max="13048" width="12.5" style="2" customWidth="1"/>
    <col min="13049" max="13049" width="10.5" style="2" customWidth="1"/>
    <col min="13050" max="13050" width="25" style="2" customWidth="1"/>
    <col min="13051" max="13051" width="23.6875" style="2" customWidth="1"/>
    <col min="13052" max="13052" width="17.1875" style="2" customWidth="1"/>
    <col min="13053" max="13053" width="16.3125" style="2" customWidth="1"/>
    <col min="13054" max="13054" width="16.5" style="2" customWidth="1"/>
    <col min="13055" max="13055" width="16.1875" style="2" customWidth="1"/>
    <col min="13056" max="13056" width="15.5" style="2" customWidth="1"/>
    <col min="13057" max="13057" width="15" style="2" customWidth="1"/>
    <col min="13058" max="13058" width="15.5" style="2" customWidth="1"/>
    <col min="13059" max="13059" width="15.3125" style="2" customWidth="1"/>
    <col min="13060" max="13060" width="16.5" style="2" customWidth="1"/>
    <col min="13061" max="13061" width="15.3125" style="2" customWidth="1"/>
    <col min="13062" max="13062" width="15" style="2" customWidth="1"/>
    <col min="13063" max="13063" width="15.5" style="2" customWidth="1"/>
    <col min="13064" max="13064" width="27.1875" style="2" customWidth="1"/>
    <col min="13065" max="13065" width="11.5" style="2" customWidth="1"/>
    <col min="13066" max="13066" width="19" style="2" customWidth="1"/>
    <col min="13067" max="13068" width="0" style="2" hidden="1" customWidth="1"/>
    <col min="13069" max="13069" width="21" style="2" customWidth="1"/>
    <col min="13070" max="13073" width="0" style="2" hidden="1" customWidth="1"/>
    <col min="13074" max="13074" width="54.6875" style="2" customWidth="1"/>
    <col min="13075" max="13075" width="9.6875" style="2" customWidth="1"/>
    <col min="13076" max="13076" width="9.1875" style="2"/>
    <col min="13077" max="13089" width="0" style="2" hidden="1" customWidth="1"/>
    <col min="13090" max="13303" width="9.1875" style="2"/>
    <col min="13304" max="13304" width="12.5" style="2" customWidth="1"/>
    <col min="13305" max="13305" width="10.5" style="2" customWidth="1"/>
    <col min="13306" max="13306" width="25" style="2" customWidth="1"/>
    <col min="13307" max="13307" width="23.6875" style="2" customWidth="1"/>
    <col min="13308" max="13308" width="17.1875" style="2" customWidth="1"/>
    <col min="13309" max="13309" width="16.3125" style="2" customWidth="1"/>
    <col min="13310" max="13310" width="16.5" style="2" customWidth="1"/>
    <col min="13311" max="13311" width="16.1875" style="2" customWidth="1"/>
    <col min="13312" max="13312" width="15.5" style="2" customWidth="1"/>
    <col min="13313" max="13313" width="15" style="2" customWidth="1"/>
    <col min="13314" max="13314" width="15.5" style="2" customWidth="1"/>
    <col min="13315" max="13315" width="15.3125" style="2" customWidth="1"/>
    <col min="13316" max="13316" width="16.5" style="2" customWidth="1"/>
    <col min="13317" max="13317" width="15.3125" style="2" customWidth="1"/>
    <col min="13318" max="13318" width="15" style="2" customWidth="1"/>
    <col min="13319" max="13319" width="15.5" style="2" customWidth="1"/>
    <col min="13320" max="13320" width="27.1875" style="2" customWidth="1"/>
    <col min="13321" max="13321" width="11.5" style="2" customWidth="1"/>
    <col min="13322" max="13322" width="19" style="2" customWidth="1"/>
    <col min="13323" max="13324" width="0" style="2" hidden="1" customWidth="1"/>
    <col min="13325" max="13325" width="21" style="2" customWidth="1"/>
    <col min="13326" max="13329" width="0" style="2" hidden="1" customWidth="1"/>
    <col min="13330" max="13330" width="54.6875" style="2" customWidth="1"/>
    <col min="13331" max="13331" width="9.6875" style="2" customWidth="1"/>
    <col min="13332" max="13332" width="9.1875" style="2"/>
    <col min="13333" max="13345" width="0" style="2" hidden="1" customWidth="1"/>
    <col min="13346" max="13559" width="9.1875" style="2"/>
    <col min="13560" max="13560" width="12.5" style="2" customWidth="1"/>
    <col min="13561" max="13561" width="10.5" style="2" customWidth="1"/>
    <col min="13562" max="13562" width="25" style="2" customWidth="1"/>
    <col min="13563" max="13563" width="23.6875" style="2" customWidth="1"/>
    <col min="13564" max="13564" width="17.1875" style="2" customWidth="1"/>
    <col min="13565" max="13565" width="16.3125" style="2" customWidth="1"/>
    <col min="13566" max="13566" width="16.5" style="2" customWidth="1"/>
    <col min="13567" max="13567" width="16.1875" style="2" customWidth="1"/>
    <col min="13568" max="13568" width="15.5" style="2" customWidth="1"/>
    <col min="13569" max="13569" width="15" style="2" customWidth="1"/>
    <col min="13570" max="13570" width="15.5" style="2" customWidth="1"/>
    <col min="13571" max="13571" width="15.3125" style="2" customWidth="1"/>
    <col min="13572" max="13572" width="16.5" style="2" customWidth="1"/>
    <col min="13573" max="13573" width="15.3125" style="2" customWidth="1"/>
    <col min="13574" max="13574" width="15" style="2" customWidth="1"/>
    <col min="13575" max="13575" width="15.5" style="2" customWidth="1"/>
    <col min="13576" max="13576" width="27.1875" style="2" customWidth="1"/>
    <col min="13577" max="13577" width="11.5" style="2" customWidth="1"/>
    <col min="13578" max="13578" width="19" style="2" customWidth="1"/>
    <col min="13579" max="13580" width="0" style="2" hidden="1" customWidth="1"/>
    <col min="13581" max="13581" width="21" style="2" customWidth="1"/>
    <col min="13582" max="13585" width="0" style="2" hidden="1" customWidth="1"/>
    <col min="13586" max="13586" width="54.6875" style="2" customWidth="1"/>
    <col min="13587" max="13587" width="9.6875" style="2" customWidth="1"/>
    <col min="13588" max="13588" width="9.1875" style="2"/>
    <col min="13589" max="13601" width="0" style="2" hidden="1" customWidth="1"/>
    <col min="13602" max="13815" width="9.1875" style="2"/>
    <col min="13816" max="13816" width="12.5" style="2" customWidth="1"/>
    <col min="13817" max="13817" width="10.5" style="2" customWidth="1"/>
    <col min="13818" max="13818" width="25" style="2" customWidth="1"/>
    <col min="13819" max="13819" width="23.6875" style="2" customWidth="1"/>
    <col min="13820" max="13820" width="17.1875" style="2" customWidth="1"/>
    <col min="13821" max="13821" width="16.3125" style="2" customWidth="1"/>
    <col min="13822" max="13822" width="16.5" style="2" customWidth="1"/>
    <col min="13823" max="13823" width="16.1875" style="2" customWidth="1"/>
    <col min="13824" max="13824" width="15.5" style="2" customWidth="1"/>
    <col min="13825" max="13825" width="15" style="2" customWidth="1"/>
    <col min="13826" max="13826" width="15.5" style="2" customWidth="1"/>
    <col min="13827" max="13827" width="15.3125" style="2" customWidth="1"/>
    <col min="13828" max="13828" width="16.5" style="2" customWidth="1"/>
    <col min="13829" max="13829" width="15.3125" style="2" customWidth="1"/>
    <col min="13830" max="13830" width="15" style="2" customWidth="1"/>
    <col min="13831" max="13831" width="15.5" style="2" customWidth="1"/>
    <col min="13832" max="13832" width="27.1875" style="2" customWidth="1"/>
    <col min="13833" max="13833" width="11.5" style="2" customWidth="1"/>
    <col min="13834" max="13834" width="19" style="2" customWidth="1"/>
    <col min="13835" max="13836" width="0" style="2" hidden="1" customWidth="1"/>
    <col min="13837" max="13837" width="21" style="2" customWidth="1"/>
    <col min="13838" max="13841" width="0" style="2" hidden="1" customWidth="1"/>
    <col min="13842" max="13842" width="54.6875" style="2" customWidth="1"/>
    <col min="13843" max="13843" width="9.6875" style="2" customWidth="1"/>
    <col min="13844" max="13844" width="9.1875" style="2"/>
    <col min="13845" max="13857" width="0" style="2" hidden="1" customWidth="1"/>
    <col min="13858" max="14071" width="9.1875" style="2"/>
    <col min="14072" max="14072" width="12.5" style="2" customWidth="1"/>
    <col min="14073" max="14073" width="10.5" style="2" customWidth="1"/>
    <col min="14074" max="14074" width="25" style="2" customWidth="1"/>
    <col min="14075" max="14075" width="23.6875" style="2" customWidth="1"/>
    <col min="14076" max="14076" width="17.1875" style="2" customWidth="1"/>
    <col min="14077" max="14077" width="16.3125" style="2" customWidth="1"/>
    <col min="14078" max="14078" width="16.5" style="2" customWidth="1"/>
    <col min="14079" max="14079" width="16.1875" style="2" customWidth="1"/>
    <col min="14080" max="14080" width="15.5" style="2" customWidth="1"/>
    <col min="14081" max="14081" width="15" style="2" customWidth="1"/>
    <col min="14082" max="14082" width="15.5" style="2" customWidth="1"/>
    <col min="14083" max="14083" width="15.3125" style="2" customWidth="1"/>
    <col min="14084" max="14084" width="16.5" style="2" customWidth="1"/>
    <col min="14085" max="14085" width="15.3125" style="2" customWidth="1"/>
    <col min="14086" max="14086" width="15" style="2" customWidth="1"/>
    <col min="14087" max="14087" width="15.5" style="2" customWidth="1"/>
    <col min="14088" max="14088" width="27.1875" style="2" customWidth="1"/>
    <col min="14089" max="14089" width="11.5" style="2" customWidth="1"/>
    <col min="14090" max="14090" width="19" style="2" customWidth="1"/>
    <col min="14091" max="14092" width="0" style="2" hidden="1" customWidth="1"/>
    <col min="14093" max="14093" width="21" style="2" customWidth="1"/>
    <col min="14094" max="14097" width="0" style="2" hidden="1" customWidth="1"/>
    <col min="14098" max="14098" width="54.6875" style="2" customWidth="1"/>
    <col min="14099" max="14099" width="9.6875" style="2" customWidth="1"/>
    <col min="14100" max="14100" width="9.1875" style="2"/>
    <col min="14101" max="14113" width="0" style="2" hidden="1" customWidth="1"/>
    <col min="14114" max="14327" width="9.1875" style="2"/>
    <col min="14328" max="14328" width="12.5" style="2" customWidth="1"/>
    <col min="14329" max="14329" width="10.5" style="2" customWidth="1"/>
    <col min="14330" max="14330" width="25" style="2" customWidth="1"/>
    <col min="14331" max="14331" width="23.6875" style="2" customWidth="1"/>
    <col min="14332" max="14332" width="17.1875" style="2" customWidth="1"/>
    <col min="14333" max="14333" width="16.3125" style="2" customWidth="1"/>
    <col min="14334" max="14334" width="16.5" style="2" customWidth="1"/>
    <col min="14335" max="14335" width="16.1875" style="2" customWidth="1"/>
    <col min="14336" max="14336" width="15.5" style="2" customWidth="1"/>
    <col min="14337" max="14337" width="15" style="2" customWidth="1"/>
    <col min="14338" max="14338" width="15.5" style="2" customWidth="1"/>
    <col min="14339" max="14339" width="15.3125" style="2" customWidth="1"/>
    <col min="14340" max="14340" width="16.5" style="2" customWidth="1"/>
    <col min="14341" max="14341" width="15.3125" style="2" customWidth="1"/>
    <col min="14342" max="14342" width="15" style="2" customWidth="1"/>
    <col min="14343" max="14343" width="15.5" style="2" customWidth="1"/>
    <col min="14344" max="14344" width="27.1875" style="2" customWidth="1"/>
    <col min="14345" max="14345" width="11.5" style="2" customWidth="1"/>
    <col min="14346" max="14346" width="19" style="2" customWidth="1"/>
    <col min="14347" max="14348" width="0" style="2" hidden="1" customWidth="1"/>
    <col min="14349" max="14349" width="21" style="2" customWidth="1"/>
    <col min="14350" max="14353" width="0" style="2" hidden="1" customWidth="1"/>
    <col min="14354" max="14354" width="54.6875" style="2" customWidth="1"/>
    <col min="14355" max="14355" width="9.6875" style="2" customWidth="1"/>
    <col min="14356" max="14356" width="9.1875" style="2"/>
    <col min="14357" max="14369" width="0" style="2" hidden="1" customWidth="1"/>
    <col min="14370" max="14583" width="9.1875" style="2"/>
    <col min="14584" max="14584" width="12.5" style="2" customWidth="1"/>
    <col min="14585" max="14585" width="10.5" style="2" customWidth="1"/>
    <col min="14586" max="14586" width="25" style="2" customWidth="1"/>
    <col min="14587" max="14587" width="23.6875" style="2" customWidth="1"/>
    <col min="14588" max="14588" width="17.1875" style="2" customWidth="1"/>
    <col min="14589" max="14589" width="16.3125" style="2" customWidth="1"/>
    <col min="14590" max="14590" width="16.5" style="2" customWidth="1"/>
    <col min="14591" max="14591" width="16.1875" style="2" customWidth="1"/>
    <col min="14592" max="14592" width="15.5" style="2" customWidth="1"/>
    <col min="14593" max="14593" width="15" style="2" customWidth="1"/>
    <col min="14594" max="14594" width="15.5" style="2" customWidth="1"/>
    <col min="14595" max="14595" width="15.3125" style="2" customWidth="1"/>
    <col min="14596" max="14596" width="16.5" style="2" customWidth="1"/>
    <col min="14597" max="14597" width="15.3125" style="2" customWidth="1"/>
    <col min="14598" max="14598" width="15" style="2" customWidth="1"/>
    <col min="14599" max="14599" width="15.5" style="2" customWidth="1"/>
    <col min="14600" max="14600" width="27.1875" style="2" customWidth="1"/>
    <col min="14601" max="14601" width="11.5" style="2" customWidth="1"/>
    <col min="14602" max="14602" width="19" style="2" customWidth="1"/>
    <col min="14603" max="14604" width="0" style="2" hidden="1" customWidth="1"/>
    <col min="14605" max="14605" width="21" style="2" customWidth="1"/>
    <col min="14606" max="14609" width="0" style="2" hidden="1" customWidth="1"/>
    <col min="14610" max="14610" width="54.6875" style="2" customWidth="1"/>
    <col min="14611" max="14611" width="9.6875" style="2" customWidth="1"/>
    <col min="14612" max="14612" width="9.1875" style="2"/>
    <col min="14613" max="14625" width="0" style="2" hidden="1" customWidth="1"/>
    <col min="14626" max="14839" width="9.1875" style="2"/>
    <col min="14840" max="14840" width="12.5" style="2" customWidth="1"/>
    <col min="14841" max="14841" width="10.5" style="2" customWidth="1"/>
    <col min="14842" max="14842" width="25" style="2" customWidth="1"/>
    <col min="14843" max="14843" width="23.6875" style="2" customWidth="1"/>
    <col min="14844" max="14844" width="17.1875" style="2" customWidth="1"/>
    <col min="14845" max="14845" width="16.3125" style="2" customWidth="1"/>
    <col min="14846" max="14846" width="16.5" style="2" customWidth="1"/>
    <col min="14847" max="14847" width="16.1875" style="2" customWidth="1"/>
    <col min="14848" max="14848" width="15.5" style="2" customWidth="1"/>
    <col min="14849" max="14849" width="15" style="2" customWidth="1"/>
    <col min="14850" max="14850" width="15.5" style="2" customWidth="1"/>
    <col min="14851" max="14851" width="15.3125" style="2" customWidth="1"/>
    <col min="14852" max="14852" width="16.5" style="2" customWidth="1"/>
    <col min="14853" max="14853" width="15.3125" style="2" customWidth="1"/>
    <col min="14854" max="14854" width="15" style="2" customWidth="1"/>
    <col min="14855" max="14855" width="15.5" style="2" customWidth="1"/>
    <col min="14856" max="14856" width="27.1875" style="2" customWidth="1"/>
    <col min="14857" max="14857" width="11.5" style="2" customWidth="1"/>
    <col min="14858" max="14858" width="19" style="2" customWidth="1"/>
    <col min="14859" max="14860" width="0" style="2" hidden="1" customWidth="1"/>
    <col min="14861" max="14861" width="21" style="2" customWidth="1"/>
    <col min="14862" max="14865" width="0" style="2" hidden="1" customWidth="1"/>
    <col min="14866" max="14866" width="54.6875" style="2" customWidth="1"/>
    <col min="14867" max="14867" width="9.6875" style="2" customWidth="1"/>
    <col min="14868" max="14868" width="9.1875" style="2"/>
    <col min="14869" max="14881" width="0" style="2" hidden="1" customWidth="1"/>
    <col min="14882" max="15095" width="9.1875" style="2"/>
    <col min="15096" max="15096" width="12.5" style="2" customWidth="1"/>
    <col min="15097" max="15097" width="10.5" style="2" customWidth="1"/>
    <col min="15098" max="15098" width="25" style="2" customWidth="1"/>
    <col min="15099" max="15099" width="23.6875" style="2" customWidth="1"/>
    <col min="15100" max="15100" width="17.1875" style="2" customWidth="1"/>
    <col min="15101" max="15101" width="16.3125" style="2" customWidth="1"/>
    <col min="15102" max="15102" width="16.5" style="2" customWidth="1"/>
    <col min="15103" max="15103" width="16.1875" style="2" customWidth="1"/>
    <col min="15104" max="15104" width="15.5" style="2" customWidth="1"/>
    <col min="15105" max="15105" width="15" style="2" customWidth="1"/>
    <col min="15106" max="15106" width="15.5" style="2" customWidth="1"/>
    <col min="15107" max="15107" width="15.3125" style="2" customWidth="1"/>
    <col min="15108" max="15108" width="16.5" style="2" customWidth="1"/>
    <col min="15109" max="15109" width="15.3125" style="2" customWidth="1"/>
    <col min="15110" max="15110" width="15" style="2" customWidth="1"/>
    <col min="15111" max="15111" width="15.5" style="2" customWidth="1"/>
    <col min="15112" max="15112" width="27.1875" style="2" customWidth="1"/>
    <col min="15113" max="15113" width="11.5" style="2" customWidth="1"/>
    <col min="15114" max="15114" width="19" style="2" customWidth="1"/>
    <col min="15115" max="15116" width="0" style="2" hidden="1" customWidth="1"/>
    <col min="15117" max="15117" width="21" style="2" customWidth="1"/>
    <col min="15118" max="15121" width="0" style="2" hidden="1" customWidth="1"/>
    <col min="15122" max="15122" width="54.6875" style="2" customWidth="1"/>
    <col min="15123" max="15123" width="9.6875" style="2" customWidth="1"/>
    <col min="15124" max="15124" width="9.1875" style="2"/>
    <col min="15125" max="15137" width="0" style="2" hidden="1" customWidth="1"/>
    <col min="15138" max="15351" width="9.1875" style="2"/>
    <col min="15352" max="15352" width="12.5" style="2" customWidth="1"/>
    <col min="15353" max="15353" width="10.5" style="2" customWidth="1"/>
    <col min="15354" max="15354" width="25" style="2" customWidth="1"/>
    <col min="15355" max="15355" width="23.6875" style="2" customWidth="1"/>
    <col min="15356" max="15356" width="17.1875" style="2" customWidth="1"/>
    <col min="15357" max="15357" width="16.3125" style="2" customWidth="1"/>
    <col min="15358" max="15358" width="16.5" style="2" customWidth="1"/>
    <col min="15359" max="15359" width="16.1875" style="2" customWidth="1"/>
    <col min="15360" max="15360" width="15.5" style="2" customWidth="1"/>
    <col min="15361" max="15361" width="15" style="2" customWidth="1"/>
    <col min="15362" max="15362" width="15.5" style="2" customWidth="1"/>
    <col min="15363" max="15363" width="15.3125" style="2" customWidth="1"/>
    <col min="15364" max="15364" width="16.5" style="2" customWidth="1"/>
    <col min="15365" max="15365" width="15.3125" style="2" customWidth="1"/>
    <col min="15366" max="15366" width="15" style="2" customWidth="1"/>
    <col min="15367" max="15367" width="15.5" style="2" customWidth="1"/>
    <col min="15368" max="15368" width="27.1875" style="2" customWidth="1"/>
    <col min="15369" max="15369" width="11.5" style="2" customWidth="1"/>
    <col min="15370" max="15370" width="19" style="2" customWidth="1"/>
    <col min="15371" max="15372" width="0" style="2" hidden="1" customWidth="1"/>
    <col min="15373" max="15373" width="21" style="2" customWidth="1"/>
    <col min="15374" max="15377" width="0" style="2" hidden="1" customWidth="1"/>
    <col min="15378" max="15378" width="54.6875" style="2" customWidth="1"/>
    <col min="15379" max="15379" width="9.6875" style="2" customWidth="1"/>
    <col min="15380" max="15380" width="9.1875" style="2"/>
    <col min="15381" max="15393" width="0" style="2" hidden="1" customWidth="1"/>
    <col min="15394" max="15607" width="9.1875" style="2"/>
    <col min="15608" max="15608" width="12.5" style="2" customWidth="1"/>
    <col min="15609" max="15609" width="10.5" style="2" customWidth="1"/>
    <col min="15610" max="15610" width="25" style="2" customWidth="1"/>
    <col min="15611" max="15611" width="23.6875" style="2" customWidth="1"/>
    <col min="15612" max="15612" width="17.1875" style="2" customWidth="1"/>
    <col min="15613" max="15613" width="16.3125" style="2" customWidth="1"/>
    <col min="15614" max="15614" width="16.5" style="2" customWidth="1"/>
    <col min="15615" max="15615" width="16.1875" style="2" customWidth="1"/>
    <col min="15616" max="15616" width="15.5" style="2" customWidth="1"/>
    <col min="15617" max="15617" width="15" style="2" customWidth="1"/>
    <col min="15618" max="15618" width="15.5" style="2" customWidth="1"/>
    <col min="15619" max="15619" width="15.3125" style="2" customWidth="1"/>
    <col min="15620" max="15620" width="16.5" style="2" customWidth="1"/>
    <col min="15621" max="15621" width="15.3125" style="2" customWidth="1"/>
    <col min="15622" max="15622" width="15" style="2" customWidth="1"/>
    <col min="15623" max="15623" width="15.5" style="2" customWidth="1"/>
    <col min="15624" max="15624" width="27.1875" style="2" customWidth="1"/>
    <col min="15625" max="15625" width="11.5" style="2" customWidth="1"/>
    <col min="15626" max="15626" width="19" style="2" customWidth="1"/>
    <col min="15627" max="15628" width="0" style="2" hidden="1" customWidth="1"/>
    <col min="15629" max="15629" width="21" style="2" customWidth="1"/>
    <col min="15630" max="15633" width="0" style="2" hidden="1" customWidth="1"/>
    <col min="15634" max="15634" width="54.6875" style="2" customWidth="1"/>
    <col min="15635" max="15635" width="9.6875" style="2" customWidth="1"/>
    <col min="15636" max="15636" width="9.1875" style="2"/>
    <col min="15637" max="15649" width="0" style="2" hidden="1" customWidth="1"/>
    <col min="15650" max="15863" width="9.1875" style="2"/>
    <col min="15864" max="15864" width="12.5" style="2" customWidth="1"/>
    <col min="15865" max="15865" width="10.5" style="2" customWidth="1"/>
    <col min="15866" max="15866" width="25" style="2" customWidth="1"/>
    <col min="15867" max="15867" width="23.6875" style="2" customWidth="1"/>
    <col min="15868" max="15868" width="17.1875" style="2" customWidth="1"/>
    <col min="15869" max="15869" width="16.3125" style="2" customWidth="1"/>
    <col min="15870" max="15870" width="16.5" style="2" customWidth="1"/>
    <col min="15871" max="15871" width="16.1875" style="2" customWidth="1"/>
    <col min="15872" max="15872" width="15.5" style="2" customWidth="1"/>
    <col min="15873" max="15873" width="15" style="2" customWidth="1"/>
    <col min="15874" max="15874" width="15.5" style="2" customWidth="1"/>
    <col min="15875" max="15875" width="15.3125" style="2" customWidth="1"/>
    <col min="15876" max="15876" width="16.5" style="2" customWidth="1"/>
    <col min="15877" max="15877" width="15.3125" style="2" customWidth="1"/>
    <col min="15878" max="15878" width="15" style="2" customWidth="1"/>
    <col min="15879" max="15879" width="15.5" style="2" customWidth="1"/>
    <col min="15880" max="15880" width="27.1875" style="2" customWidth="1"/>
    <col min="15881" max="15881" width="11.5" style="2" customWidth="1"/>
    <col min="15882" max="15882" width="19" style="2" customWidth="1"/>
    <col min="15883" max="15884" width="0" style="2" hidden="1" customWidth="1"/>
    <col min="15885" max="15885" width="21" style="2" customWidth="1"/>
    <col min="15886" max="15889" width="0" style="2" hidden="1" customWidth="1"/>
    <col min="15890" max="15890" width="54.6875" style="2" customWidth="1"/>
    <col min="15891" max="15891" width="9.6875" style="2" customWidth="1"/>
    <col min="15892" max="15892" width="9.1875" style="2"/>
    <col min="15893" max="15905" width="0" style="2" hidden="1" customWidth="1"/>
    <col min="15906" max="16119" width="9.1875" style="2"/>
    <col min="16120" max="16120" width="12.5" style="2" customWidth="1"/>
    <col min="16121" max="16121" width="10.5" style="2" customWidth="1"/>
    <col min="16122" max="16122" width="25" style="2" customWidth="1"/>
    <col min="16123" max="16123" width="23.6875" style="2" customWidth="1"/>
    <col min="16124" max="16124" width="17.1875" style="2" customWidth="1"/>
    <col min="16125" max="16125" width="16.3125" style="2" customWidth="1"/>
    <col min="16126" max="16126" width="16.5" style="2" customWidth="1"/>
    <col min="16127" max="16127" width="16.1875" style="2" customWidth="1"/>
    <col min="16128" max="16128" width="15.5" style="2" customWidth="1"/>
    <col min="16129" max="16129" width="15" style="2" customWidth="1"/>
    <col min="16130" max="16130" width="15.5" style="2" customWidth="1"/>
    <col min="16131" max="16131" width="15.3125" style="2" customWidth="1"/>
    <col min="16132" max="16132" width="16.5" style="2" customWidth="1"/>
    <col min="16133" max="16133" width="15.3125" style="2" customWidth="1"/>
    <col min="16134" max="16134" width="15" style="2" customWidth="1"/>
    <col min="16135" max="16135" width="15.5" style="2" customWidth="1"/>
    <col min="16136" max="16136" width="27.1875" style="2" customWidth="1"/>
    <col min="16137" max="16137" width="11.5" style="2" customWidth="1"/>
    <col min="16138" max="16138" width="19" style="2" customWidth="1"/>
    <col min="16139" max="16140" width="0" style="2" hidden="1" customWidth="1"/>
    <col min="16141" max="16141" width="21" style="2" customWidth="1"/>
    <col min="16142" max="16145" width="0" style="2" hidden="1" customWidth="1"/>
    <col min="16146" max="16146" width="54.6875" style="2" customWidth="1"/>
    <col min="16147" max="16147" width="9.6875" style="2" customWidth="1"/>
    <col min="16148" max="16148" width="9.1875" style="2"/>
    <col min="16149" max="16161" width="0" style="2" hidden="1" customWidth="1"/>
    <col min="16162" max="16384" width="9.1875" style="2"/>
  </cols>
  <sheetData>
    <row r="1" spans="1:65" ht="14" customHeight="1">
      <c r="S1" s="169" t="s">
        <v>95</v>
      </c>
    </row>
    <row r="2" spans="1:65" ht="14" customHeight="1"/>
    <row r="3" spans="1:65" ht="14" customHeight="1"/>
    <row r="4" spans="1:65" ht="14" customHeight="1"/>
    <row r="5" spans="1:65" s="4" customFormat="1" ht="30" customHeight="1">
      <c r="A5" s="205" t="s">
        <v>0</v>
      </c>
      <c r="B5" s="205"/>
      <c r="C5" s="205"/>
      <c r="D5" s="205"/>
      <c r="E5" s="205"/>
      <c r="F5" s="205"/>
      <c r="G5" s="205"/>
      <c r="H5" s="205"/>
      <c r="I5" s="205"/>
      <c r="J5" s="205"/>
      <c r="K5" s="205"/>
      <c r="L5" s="205"/>
      <c r="M5" s="205"/>
      <c r="N5" s="205"/>
      <c r="O5" s="205"/>
      <c r="P5" s="205"/>
      <c r="Q5" s="205"/>
      <c r="R5" s="205"/>
      <c r="S5" s="205"/>
    </row>
    <row r="6" spans="1:65" s="4" customFormat="1" ht="20" customHeight="1">
      <c r="A6" s="168"/>
      <c r="B6" s="168"/>
      <c r="C6" s="168"/>
      <c r="D6" s="168"/>
      <c r="E6" s="168"/>
      <c r="F6" s="168"/>
      <c r="G6" s="168"/>
      <c r="H6" s="168"/>
      <c r="I6" s="168"/>
      <c r="J6" s="168"/>
      <c r="K6" s="168"/>
      <c r="L6" s="168"/>
      <c r="M6" s="168"/>
      <c r="N6" s="168"/>
      <c r="O6" s="168"/>
      <c r="P6" s="168"/>
      <c r="Q6" s="168"/>
      <c r="R6" s="168"/>
      <c r="S6" s="168"/>
    </row>
    <row r="7" spans="1:65" ht="25.05" customHeight="1">
      <c r="A7" s="5" t="s">
        <v>1</v>
      </c>
      <c r="B7" s="5"/>
      <c r="C7" s="206" t="s">
        <v>2</v>
      </c>
      <c r="D7" s="206"/>
      <c r="E7" s="206"/>
      <c r="F7" s="206"/>
      <c r="G7" s="206"/>
      <c r="H7" s="6"/>
      <c r="I7" s="7"/>
      <c r="J7" s="7"/>
      <c r="K7" s="2"/>
      <c r="L7" s="8"/>
      <c r="M7" s="8"/>
      <c r="N7" s="9" t="s">
        <v>3</v>
      </c>
      <c r="O7" s="9"/>
      <c r="P7" s="207" t="s">
        <v>94</v>
      </c>
      <c r="Q7" s="207"/>
      <c r="R7" s="9" t="s">
        <v>4</v>
      </c>
      <c r="S7" s="10" t="s">
        <v>93</v>
      </c>
    </row>
    <row r="8" spans="1:65" ht="25.05" customHeight="1">
      <c r="A8" s="5" t="s">
        <v>5</v>
      </c>
      <c r="B8" s="5"/>
      <c r="C8" s="206" t="s">
        <v>6</v>
      </c>
      <c r="D8" s="206"/>
      <c r="E8" s="206"/>
      <c r="F8" s="206"/>
      <c r="G8" s="206"/>
      <c r="H8" s="8"/>
      <c r="I8" s="7"/>
      <c r="J8" s="7"/>
      <c r="K8" s="2"/>
      <c r="L8" s="8"/>
      <c r="M8" s="8"/>
      <c r="N8" s="9" t="s">
        <v>7</v>
      </c>
      <c r="O8" s="9"/>
      <c r="P8" s="11" t="s">
        <v>8</v>
      </c>
      <c r="Q8" s="11"/>
      <c r="R8" s="11"/>
      <c r="S8" s="11"/>
    </row>
    <row r="9" spans="1:65" ht="25.05" customHeight="1">
      <c r="A9" s="5" t="s">
        <v>9</v>
      </c>
      <c r="B9" s="5"/>
      <c r="C9" s="206" t="s">
        <v>10</v>
      </c>
      <c r="D9" s="206"/>
      <c r="E9" s="206"/>
      <c r="F9" s="206"/>
      <c r="G9" s="206"/>
      <c r="H9" s="8"/>
      <c r="I9" s="7"/>
      <c r="J9" s="7"/>
      <c r="K9" s="2"/>
      <c r="L9" s="8"/>
      <c r="M9" s="8"/>
      <c r="N9" s="9" t="s">
        <v>11</v>
      </c>
      <c r="O9" s="9"/>
      <c r="P9" s="208" t="s">
        <v>12</v>
      </c>
      <c r="Q9" s="206"/>
      <c r="R9" s="206"/>
      <c r="S9" s="206"/>
    </row>
    <row r="10" spans="1:65" ht="25.05" customHeight="1">
      <c r="A10" s="5" t="s">
        <v>13</v>
      </c>
      <c r="B10" s="5"/>
      <c r="C10" s="206" t="s">
        <v>14</v>
      </c>
      <c r="D10" s="206"/>
      <c r="E10" s="206"/>
      <c r="F10" s="206"/>
      <c r="G10" s="206"/>
      <c r="H10" s="8"/>
      <c r="I10" s="7"/>
      <c r="J10" s="7"/>
      <c r="K10" s="2"/>
      <c r="L10" s="8"/>
      <c r="M10" s="8"/>
      <c r="N10" s="9" t="s">
        <v>15</v>
      </c>
      <c r="O10" s="9"/>
      <c r="P10" s="209" t="s">
        <v>16</v>
      </c>
      <c r="Q10" s="209"/>
      <c r="R10" s="209"/>
      <c r="S10" s="209"/>
      <c r="U10" s="7" t="s">
        <v>14</v>
      </c>
    </row>
    <row r="11" spans="1:65" ht="25.05" customHeight="1">
      <c r="A11" s="2"/>
      <c r="B11" s="6"/>
      <c r="C11" s="6"/>
      <c r="D11" s="6"/>
      <c r="E11" s="6"/>
      <c r="F11" s="6"/>
      <c r="G11" s="8"/>
      <c r="H11" s="6"/>
      <c r="I11" s="7"/>
      <c r="J11" s="7"/>
      <c r="K11" s="2"/>
      <c r="L11" s="8"/>
      <c r="M11" s="8"/>
      <c r="N11" s="9" t="s">
        <v>17</v>
      </c>
      <c r="O11" s="9"/>
      <c r="P11" s="209" t="s">
        <v>96</v>
      </c>
      <c r="Q11" s="209"/>
      <c r="R11" s="209"/>
      <c r="S11" s="209"/>
      <c r="U11" s="7" t="s">
        <v>18</v>
      </c>
    </row>
    <row r="12" spans="1:65" ht="15" customHeight="1" thickBot="1">
      <c r="A12" s="7"/>
      <c r="B12" s="1"/>
      <c r="C12" s="1"/>
      <c r="H12" s="2"/>
      <c r="I12" s="2"/>
      <c r="J12" s="2"/>
      <c r="K12" s="2"/>
      <c r="L12" s="2"/>
      <c r="M12" s="2"/>
      <c r="N12" s="2"/>
      <c r="O12" s="2"/>
      <c r="P12" s="2"/>
      <c r="R12" s="2"/>
      <c r="S12" s="1"/>
      <c r="U12" s="7" t="s">
        <v>19</v>
      </c>
    </row>
    <row r="13" spans="1:65" ht="30" customHeight="1">
      <c r="A13" s="210" t="s">
        <v>20</v>
      </c>
      <c r="B13" s="213" t="s">
        <v>21</v>
      </c>
      <c r="C13" s="213" t="s">
        <v>22</v>
      </c>
      <c r="D13" s="213" t="s">
        <v>23</v>
      </c>
      <c r="E13" s="216" t="s">
        <v>90</v>
      </c>
      <c r="F13" s="217"/>
      <c r="G13" s="217"/>
      <c r="H13" s="218"/>
      <c r="I13" s="180" t="s">
        <v>28</v>
      </c>
      <c r="J13" s="176" t="s">
        <v>24</v>
      </c>
      <c r="K13" s="176"/>
      <c r="L13" s="176"/>
      <c r="M13" s="176"/>
      <c r="N13" s="176"/>
      <c r="O13" s="176"/>
      <c r="P13" s="176"/>
      <c r="Q13" s="176"/>
      <c r="R13" s="176"/>
      <c r="S13" s="177"/>
      <c r="T13" s="4"/>
      <c r="U13" s="5" t="s">
        <v>25</v>
      </c>
      <c r="V13" s="4"/>
      <c r="W13" s="4"/>
      <c r="X13" s="4"/>
      <c r="Y13" s="4"/>
      <c r="Z13" s="4"/>
      <c r="AA13" s="4"/>
      <c r="AB13" s="4"/>
      <c r="AC13" s="4"/>
      <c r="AD13" s="4"/>
      <c r="AE13" s="4"/>
      <c r="AF13" s="4"/>
      <c r="AG13" s="4"/>
      <c r="AH13" s="4"/>
      <c r="AI13" s="4"/>
      <c r="BC13" s="4"/>
      <c r="BD13" s="4"/>
      <c r="BE13" s="4"/>
      <c r="BF13" s="4"/>
      <c r="BG13" s="4"/>
      <c r="BH13" s="4"/>
      <c r="BI13" s="4"/>
      <c r="BJ13" s="4"/>
      <c r="BK13" s="4"/>
      <c r="BL13" s="4"/>
      <c r="BM13" s="4"/>
    </row>
    <row r="14" spans="1:65" s="7" customFormat="1" ht="20" customHeight="1" thickBot="1">
      <c r="A14" s="211"/>
      <c r="B14" s="214"/>
      <c r="C14" s="214"/>
      <c r="D14" s="214"/>
      <c r="E14" s="219" t="s">
        <v>89</v>
      </c>
      <c r="F14" s="220"/>
      <c r="G14" s="220"/>
      <c r="H14" s="221"/>
      <c r="I14" s="181"/>
      <c r="J14" s="178"/>
      <c r="K14" s="178"/>
      <c r="L14" s="178"/>
      <c r="M14" s="178"/>
      <c r="N14" s="178"/>
      <c r="O14" s="178"/>
      <c r="P14" s="178"/>
      <c r="Q14" s="178"/>
      <c r="R14" s="178"/>
      <c r="S14" s="179"/>
      <c r="T14" s="5"/>
      <c r="U14" s="5" t="s">
        <v>26</v>
      </c>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c r="BK14" s="5"/>
      <c r="BL14" s="5"/>
      <c r="BM14" s="5"/>
    </row>
    <row r="15" spans="1:65" s="7" customFormat="1" ht="25.5" customHeight="1" thickBot="1">
      <c r="A15" s="211"/>
      <c r="B15" s="214"/>
      <c r="C15" s="214"/>
      <c r="D15" s="214"/>
      <c r="E15" s="222"/>
      <c r="F15" s="223"/>
      <c r="G15" s="223"/>
      <c r="H15" s="224"/>
      <c r="I15" s="181"/>
      <c r="J15" s="225" t="s">
        <v>29</v>
      </c>
      <c r="K15" s="190" t="s">
        <v>30</v>
      </c>
      <c r="L15" s="190" t="s">
        <v>31</v>
      </c>
      <c r="M15" s="190" t="s">
        <v>32</v>
      </c>
      <c r="N15" s="190" t="s">
        <v>33</v>
      </c>
      <c r="O15" s="190" t="s">
        <v>34</v>
      </c>
      <c r="P15" s="194" t="s">
        <v>35</v>
      </c>
      <c r="Q15" s="196" t="s">
        <v>36</v>
      </c>
      <c r="R15" s="197"/>
      <c r="S15" s="198"/>
      <c r="T15" s="4"/>
      <c r="U15" s="5" t="s">
        <v>26</v>
      </c>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5"/>
      <c r="AZ15" s="5"/>
      <c r="BA15" s="5"/>
      <c r="BB15" s="5"/>
      <c r="BC15" s="5"/>
      <c r="BD15" s="5"/>
      <c r="BE15" s="5"/>
      <c r="BF15" s="5"/>
      <c r="BG15" s="5"/>
      <c r="BH15" s="5"/>
      <c r="BI15" s="5"/>
      <c r="BJ15" s="5"/>
      <c r="BK15" s="5"/>
      <c r="BL15" s="5"/>
      <c r="BM15" s="5"/>
    </row>
    <row r="16" spans="1:65" s="7" customFormat="1" ht="21" customHeight="1" thickBot="1">
      <c r="A16" s="211"/>
      <c r="B16" s="214"/>
      <c r="C16" s="214"/>
      <c r="D16" s="214"/>
      <c r="E16" s="227" t="s">
        <v>37</v>
      </c>
      <c r="F16" s="229" t="s">
        <v>97</v>
      </c>
      <c r="G16" s="230"/>
      <c r="H16" s="231" t="s">
        <v>38</v>
      </c>
      <c r="I16" s="182"/>
      <c r="J16" s="226"/>
      <c r="K16" s="191"/>
      <c r="L16" s="191"/>
      <c r="M16" s="191"/>
      <c r="N16" s="191"/>
      <c r="O16" s="191"/>
      <c r="P16" s="195"/>
      <c r="Q16" s="186" t="s">
        <v>39</v>
      </c>
      <c r="R16" s="188" t="s">
        <v>40</v>
      </c>
      <c r="S16" s="199" t="s">
        <v>27</v>
      </c>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5"/>
      <c r="AZ16" s="5"/>
      <c r="BA16" s="5"/>
      <c r="BB16" s="5"/>
      <c r="BC16" s="5"/>
      <c r="BD16" s="5"/>
      <c r="BE16" s="5"/>
      <c r="BF16" s="5"/>
      <c r="BG16" s="5"/>
      <c r="BH16" s="5"/>
      <c r="BI16" s="5"/>
      <c r="BJ16" s="5"/>
      <c r="BK16" s="5"/>
      <c r="BL16" s="5"/>
      <c r="BM16" s="5"/>
    </row>
    <row r="17" spans="1:65" ht="30" customHeight="1" thickBot="1">
      <c r="A17" s="212"/>
      <c r="B17" s="215"/>
      <c r="C17" s="215"/>
      <c r="D17" s="215"/>
      <c r="E17" s="228"/>
      <c r="F17" s="166" t="s">
        <v>14</v>
      </c>
      <c r="G17" s="167" t="s">
        <v>76</v>
      </c>
      <c r="H17" s="232"/>
      <c r="I17" s="130">
        <v>2020101000</v>
      </c>
      <c r="J17" s="12">
        <v>5020101000</v>
      </c>
      <c r="K17" s="13" t="s">
        <v>41</v>
      </c>
      <c r="L17" s="13" t="s">
        <v>42</v>
      </c>
      <c r="M17" s="13" t="s">
        <v>43</v>
      </c>
      <c r="N17" s="13" t="s">
        <v>44</v>
      </c>
      <c r="O17" s="13" t="s">
        <v>45</v>
      </c>
      <c r="P17" s="13" t="s">
        <v>46</v>
      </c>
      <c r="Q17" s="187"/>
      <c r="R17" s="189"/>
      <c r="S17" s="200"/>
      <c r="T17" s="4"/>
      <c r="U17" s="4"/>
      <c r="V17" s="4"/>
      <c r="W17" s="4"/>
      <c r="X17" s="4"/>
      <c r="Y17" s="4"/>
      <c r="Z17" s="4"/>
      <c r="AA17" s="4"/>
      <c r="AB17" s="4"/>
      <c r="AC17" s="4"/>
      <c r="AD17" s="4"/>
      <c r="AE17" s="4"/>
      <c r="AF17" s="4" t="s">
        <v>26</v>
      </c>
      <c r="AG17" s="4" t="s">
        <v>26</v>
      </c>
      <c r="AH17" s="4"/>
      <c r="AI17" s="4"/>
      <c r="BC17" s="4"/>
      <c r="BD17" s="4"/>
      <c r="BE17" s="4"/>
      <c r="BF17" s="4"/>
      <c r="BG17" s="4"/>
      <c r="BH17" s="4"/>
      <c r="BI17" s="4"/>
      <c r="BJ17" s="4"/>
      <c r="BK17" s="4"/>
      <c r="BL17" s="4"/>
      <c r="BM17" s="4"/>
    </row>
    <row r="18" spans="1:65" ht="17" customHeight="1">
      <c r="A18" s="14" t="s">
        <v>26</v>
      </c>
      <c r="B18" s="15"/>
      <c r="C18" s="16"/>
      <c r="D18" s="17" t="s">
        <v>47</v>
      </c>
      <c r="E18" s="18">
        <v>0</v>
      </c>
      <c r="F18" s="19">
        <v>500000</v>
      </c>
      <c r="G18" s="20"/>
      <c r="H18" s="21">
        <f>F18+G18</f>
        <v>500000</v>
      </c>
      <c r="I18" s="22">
        <v>0</v>
      </c>
      <c r="J18" s="22">
        <v>0</v>
      </c>
      <c r="K18" s="22">
        <v>0</v>
      </c>
      <c r="L18" s="22">
        <v>0</v>
      </c>
      <c r="M18" s="22">
        <v>0</v>
      </c>
      <c r="N18" s="22">
        <v>0</v>
      </c>
      <c r="O18" s="22">
        <v>0</v>
      </c>
      <c r="P18" s="22">
        <v>0</v>
      </c>
      <c r="Q18" s="23"/>
      <c r="R18" s="24"/>
      <c r="S18" s="25">
        <v>0</v>
      </c>
      <c r="T18" s="4"/>
      <c r="U18" s="4" t="s">
        <v>26</v>
      </c>
      <c r="V18" s="4"/>
      <c r="W18" s="4"/>
      <c r="X18" s="4"/>
      <c r="Y18" s="4"/>
      <c r="Z18" s="4"/>
      <c r="AA18" s="4"/>
      <c r="AB18" s="4"/>
      <c r="AC18" s="4"/>
      <c r="AD18" s="4"/>
      <c r="AE18" s="4"/>
      <c r="AF18" s="4" t="s">
        <v>26</v>
      </c>
      <c r="AG18" s="4" t="s">
        <v>26</v>
      </c>
      <c r="AH18" s="4"/>
      <c r="AI18" s="4"/>
      <c r="BC18" s="4"/>
      <c r="BD18" s="4"/>
      <c r="BE18" s="4"/>
      <c r="BF18" s="4"/>
      <c r="BG18" s="4"/>
      <c r="BH18" s="4"/>
      <c r="BI18" s="4"/>
      <c r="BJ18" s="4"/>
      <c r="BK18" s="4"/>
      <c r="BL18" s="4"/>
      <c r="BM18" s="4"/>
    </row>
    <row r="19" spans="1:65" ht="17" customHeight="1">
      <c r="A19" s="14" t="s">
        <v>26</v>
      </c>
      <c r="B19" s="26" t="s">
        <v>26</v>
      </c>
      <c r="C19" s="27"/>
      <c r="D19" s="28" t="s">
        <v>47</v>
      </c>
      <c r="E19" s="18">
        <v>0</v>
      </c>
      <c r="F19" s="19">
        <v>0</v>
      </c>
      <c r="G19" s="20">
        <v>200000</v>
      </c>
      <c r="H19" s="29">
        <f>H18+F19+G19</f>
        <v>700000</v>
      </c>
      <c r="I19" s="22"/>
      <c r="J19" s="22">
        <f>'[1]CDR Sheet 1'!J35</f>
        <v>0</v>
      </c>
      <c r="K19" s="22">
        <f>'[1]CDR Sheet 1'!K35</f>
        <v>0</v>
      </c>
      <c r="L19" s="22">
        <f>'[1]CDR Sheet 1'!L35</f>
        <v>0</v>
      </c>
      <c r="M19" s="22">
        <f>'[1]CDR Sheet 1'!M35</f>
        <v>0</v>
      </c>
      <c r="N19" s="22">
        <f>'[1]CDR Sheet 1'!N35</f>
        <v>0</v>
      </c>
      <c r="O19" s="22">
        <f>'[1]CDR Sheet 1'!O35</f>
        <v>0</v>
      </c>
      <c r="P19" s="22">
        <f>'[1]CDR Sheet 1'!P35</f>
        <v>0</v>
      </c>
      <c r="Q19" s="23" t="s">
        <v>26</v>
      </c>
      <c r="R19" s="24" t="s">
        <v>26</v>
      </c>
      <c r="S19" s="25" t="s">
        <v>26</v>
      </c>
      <c r="T19" s="4"/>
      <c r="U19" s="4"/>
      <c r="V19" s="4"/>
      <c r="W19" s="4"/>
      <c r="X19" s="4"/>
      <c r="Y19" s="4" t="s">
        <v>48</v>
      </c>
      <c r="Z19" s="4"/>
      <c r="AA19" s="4" t="s">
        <v>25</v>
      </c>
      <c r="AB19" s="4"/>
      <c r="AC19" s="4"/>
      <c r="AD19" s="4"/>
      <c r="AE19" s="4" t="s">
        <v>26</v>
      </c>
      <c r="AF19" s="4" t="s">
        <v>26</v>
      </c>
      <c r="AG19" s="4" t="s">
        <v>26</v>
      </c>
      <c r="AH19" s="4"/>
      <c r="AI19" s="4"/>
    </row>
    <row r="20" spans="1:65" ht="17" customHeight="1">
      <c r="A20" s="14"/>
      <c r="B20" s="30" t="s">
        <v>26</v>
      </c>
      <c r="C20" s="31"/>
      <c r="D20" s="32" t="s">
        <v>77</v>
      </c>
      <c r="E20" s="33">
        <v>100000</v>
      </c>
      <c r="F20" s="34">
        <f>E20</f>
        <v>100000</v>
      </c>
      <c r="G20" s="35"/>
      <c r="H20" s="124">
        <f>H19+E20</f>
        <v>800000</v>
      </c>
      <c r="I20" s="22">
        <v>0</v>
      </c>
      <c r="J20" s="22">
        <v>0</v>
      </c>
      <c r="K20" s="22">
        <v>0</v>
      </c>
      <c r="L20" s="37">
        <v>0</v>
      </c>
      <c r="M20" s="38">
        <v>0</v>
      </c>
      <c r="N20" s="37">
        <v>0</v>
      </c>
      <c r="O20" s="37">
        <v>0</v>
      </c>
      <c r="P20" s="25">
        <v>0</v>
      </c>
      <c r="Q20" s="39"/>
      <c r="R20" s="40" t="str">
        <f>IFERROR(VLOOKUP(Q20,'[1]Chart of Accounts'!A$1:B$65536,2,0),"")</f>
        <v/>
      </c>
      <c r="S20" s="25">
        <v>0</v>
      </c>
      <c r="T20" s="4"/>
      <c r="U20" s="4"/>
      <c r="V20" s="4"/>
      <c r="W20" s="4"/>
      <c r="X20" s="4"/>
      <c r="Y20" s="4">
        <f t="shared" ref="Y20:Y33" si="0">IF(B20&gt;1,1,0)</f>
        <v>1</v>
      </c>
      <c r="Z20" s="4"/>
      <c r="AA20" s="4">
        <f t="shared" ref="AA20:AA33" si="1">IF(F20="CANCELLED",1,0)</f>
        <v>0</v>
      </c>
      <c r="AB20" s="4"/>
      <c r="AC20" s="4"/>
      <c r="AD20" s="4"/>
      <c r="AE20" s="4"/>
      <c r="AF20" s="4" t="s">
        <v>26</v>
      </c>
      <c r="AG20" s="4" t="s">
        <v>26</v>
      </c>
      <c r="AH20" s="4"/>
      <c r="AI20" s="4"/>
    </row>
    <row r="21" spans="1:65" ht="17" customHeight="1">
      <c r="A21" s="14" t="s">
        <v>26</v>
      </c>
      <c r="B21" s="30" t="s">
        <v>26</v>
      </c>
      <c r="C21" s="41"/>
      <c r="D21" s="42" t="s">
        <v>26</v>
      </c>
      <c r="E21" s="33"/>
      <c r="F21" s="34"/>
      <c r="G21" s="35"/>
      <c r="H21" s="36">
        <f>H20+E21+G21</f>
        <v>800000</v>
      </c>
      <c r="I21" s="22" t="s">
        <v>26</v>
      </c>
      <c r="J21" s="22">
        <v>0</v>
      </c>
      <c r="K21" s="22">
        <v>0</v>
      </c>
      <c r="L21" s="37">
        <v>0</v>
      </c>
      <c r="M21" s="38" t="s">
        <v>26</v>
      </c>
      <c r="N21" s="37">
        <v>0</v>
      </c>
      <c r="O21" s="37">
        <v>0</v>
      </c>
      <c r="P21" s="25">
        <v>0</v>
      </c>
      <c r="Q21" s="39"/>
      <c r="R21" s="43" t="str">
        <f>IFERROR(VLOOKUP(Q21,'[1]Chart of Accounts'!A$1:B$65536,2,0),"")</f>
        <v/>
      </c>
      <c r="S21" s="25"/>
      <c r="T21" s="4"/>
      <c r="U21" s="4"/>
      <c r="V21" s="4"/>
      <c r="W21" s="4"/>
      <c r="X21" s="4"/>
      <c r="Y21" s="4">
        <f t="shared" si="0"/>
        <v>1</v>
      </c>
      <c r="Z21" s="4"/>
      <c r="AA21" s="4">
        <f t="shared" si="1"/>
        <v>0</v>
      </c>
      <c r="AB21" s="4"/>
      <c r="AC21" s="4"/>
      <c r="AD21" s="4"/>
      <c r="AE21" s="4"/>
      <c r="AF21" s="4" t="s">
        <v>26</v>
      </c>
      <c r="AG21" s="4" t="s">
        <v>26</v>
      </c>
      <c r="AH21" s="4"/>
      <c r="AI21" s="4"/>
    </row>
    <row r="22" spans="1:65" ht="28.05" customHeight="1">
      <c r="A22" s="14">
        <v>44170</v>
      </c>
      <c r="B22" s="30">
        <v>61887227</v>
      </c>
      <c r="C22" s="44" t="s">
        <v>49</v>
      </c>
      <c r="D22" s="45" t="s">
        <v>50</v>
      </c>
      <c r="E22" s="46">
        <v>0</v>
      </c>
      <c r="F22" s="47">
        <f>L22-I22</f>
        <v>10000</v>
      </c>
      <c r="G22" s="48"/>
      <c r="H22" s="49">
        <f>H21+E22-F22-G22</f>
        <v>790000</v>
      </c>
      <c r="I22" s="50">
        <v>0</v>
      </c>
      <c r="J22" s="50"/>
      <c r="K22" s="50"/>
      <c r="L22" s="51">
        <v>10000</v>
      </c>
      <c r="M22" s="52">
        <v>0</v>
      </c>
      <c r="N22" s="51"/>
      <c r="O22" s="51"/>
      <c r="P22" s="53"/>
      <c r="Q22" s="54"/>
      <c r="R22" s="55" t="str">
        <f>IFERROR(VLOOKUP(Q22,'[1]Chart of Accounts'!A$1:B$65536,2,0),"")</f>
        <v/>
      </c>
      <c r="S22" s="53">
        <v>0</v>
      </c>
      <c r="Y22" s="2">
        <f t="shared" si="0"/>
        <v>1</v>
      </c>
      <c r="AA22" s="2">
        <f t="shared" si="1"/>
        <v>0</v>
      </c>
      <c r="AF22" s="2" t="s">
        <v>26</v>
      </c>
      <c r="AG22" s="2" t="s">
        <v>26</v>
      </c>
    </row>
    <row r="23" spans="1:65" ht="28.05" customHeight="1">
      <c r="A23" s="14">
        <v>44170</v>
      </c>
      <c r="B23" s="30">
        <v>61887228</v>
      </c>
      <c r="C23" s="44" t="s">
        <v>54</v>
      </c>
      <c r="D23" s="45" t="s">
        <v>78</v>
      </c>
      <c r="E23" s="56"/>
      <c r="F23" s="47">
        <f>S23-I23</f>
        <v>9464.2900000000009</v>
      </c>
      <c r="G23" s="48"/>
      <c r="H23" s="49">
        <f t="shared" ref="H23:H33" si="2">H22+E23-F23-G23</f>
        <v>780535.71</v>
      </c>
      <c r="I23" s="57">
        <v>535.71</v>
      </c>
      <c r="J23" s="57">
        <v>0</v>
      </c>
      <c r="K23" s="57">
        <v>0</v>
      </c>
      <c r="L23" s="58">
        <v>0</v>
      </c>
      <c r="M23" s="59">
        <v>0</v>
      </c>
      <c r="N23" s="58"/>
      <c r="O23" s="58"/>
      <c r="P23" s="60">
        <v>0</v>
      </c>
      <c r="Q23" s="54" t="s">
        <v>53</v>
      </c>
      <c r="R23" s="55" t="str">
        <f>IFERROR(VLOOKUP(Q23,'[1]Chart of Accounts'!A$1:B$65536,2,0),"")</f>
        <v>5020321000</v>
      </c>
      <c r="S23" s="60">
        <v>10000</v>
      </c>
      <c r="Y23" s="2">
        <f t="shared" si="0"/>
        <v>1</v>
      </c>
      <c r="AA23" s="2">
        <f t="shared" si="1"/>
        <v>0</v>
      </c>
      <c r="AF23" s="2" t="s">
        <v>26</v>
      </c>
      <c r="AG23" s="2" t="s">
        <v>26</v>
      </c>
    </row>
    <row r="24" spans="1:65" ht="28.05" customHeight="1">
      <c r="A24" s="14">
        <v>44170</v>
      </c>
      <c r="B24" s="30">
        <v>61887229</v>
      </c>
      <c r="C24" s="45" t="s">
        <v>79</v>
      </c>
      <c r="D24" s="45" t="s">
        <v>80</v>
      </c>
      <c r="E24" s="46"/>
      <c r="F24" s="47"/>
      <c r="G24" s="48">
        <f>S24-I24</f>
        <v>114000</v>
      </c>
      <c r="H24" s="49">
        <f t="shared" si="2"/>
        <v>666535.71</v>
      </c>
      <c r="I24" s="50">
        <v>6000</v>
      </c>
      <c r="J24" s="50">
        <v>0</v>
      </c>
      <c r="K24" s="50">
        <v>0</v>
      </c>
      <c r="L24" s="51"/>
      <c r="M24" s="52">
        <v>0</v>
      </c>
      <c r="N24" s="51"/>
      <c r="O24" s="51"/>
      <c r="P24" s="53">
        <v>0</v>
      </c>
      <c r="Q24" s="54" t="s">
        <v>57</v>
      </c>
      <c r="R24" s="55" t="str">
        <f>IFERROR(VLOOKUP(Q24,'[1]Chart of Accounts'!A$1:B$65536,2,0),"")</f>
        <v>5020311000</v>
      </c>
      <c r="S24" s="53">
        <v>120000</v>
      </c>
      <c r="Y24" s="2">
        <f t="shared" si="0"/>
        <v>1</v>
      </c>
      <c r="AA24" s="2">
        <f t="shared" si="1"/>
        <v>0</v>
      </c>
      <c r="AF24" s="2" t="s">
        <v>26</v>
      </c>
      <c r="AG24" s="2" t="s">
        <v>26</v>
      </c>
    </row>
    <row r="25" spans="1:65" ht="28.05" customHeight="1">
      <c r="A25" s="14">
        <v>44173</v>
      </c>
      <c r="B25" s="30">
        <v>61887230</v>
      </c>
      <c r="C25" s="45" t="s">
        <v>54</v>
      </c>
      <c r="D25" s="45" t="s">
        <v>55</v>
      </c>
      <c r="E25" s="46"/>
      <c r="F25" s="47">
        <f>M25-I25</f>
        <v>18928.580000000002</v>
      </c>
      <c r="G25" s="48"/>
      <c r="H25" s="49">
        <f t="shared" si="2"/>
        <v>647607.13</v>
      </c>
      <c r="I25" s="50">
        <v>1071.42</v>
      </c>
      <c r="J25" s="50"/>
      <c r="K25" s="50"/>
      <c r="L25" s="51"/>
      <c r="M25" s="52">
        <v>20000</v>
      </c>
      <c r="N25" s="51">
        <v>0</v>
      </c>
      <c r="O25" s="51">
        <v>0</v>
      </c>
      <c r="P25" s="53"/>
      <c r="Q25" s="54"/>
      <c r="R25" s="55" t="str">
        <f>IFERROR(VLOOKUP(Q25,'[1]Chart of Accounts'!A$1:B$65536,2,0),"")</f>
        <v/>
      </c>
      <c r="S25" s="53">
        <v>0</v>
      </c>
      <c r="Y25" s="2">
        <f t="shared" si="0"/>
        <v>1</v>
      </c>
      <c r="AA25" s="2">
        <f t="shared" si="1"/>
        <v>0</v>
      </c>
      <c r="AF25" s="61" t="s">
        <v>26</v>
      </c>
      <c r="AG25" s="2" t="s">
        <v>26</v>
      </c>
    </row>
    <row r="26" spans="1:65" ht="28.05" customHeight="1">
      <c r="A26" s="14">
        <v>44174</v>
      </c>
      <c r="B26" s="30">
        <v>61887231</v>
      </c>
      <c r="C26" s="45" t="s">
        <v>56</v>
      </c>
      <c r="D26" s="45" t="s">
        <v>81</v>
      </c>
      <c r="E26" s="46">
        <v>0</v>
      </c>
      <c r="F26" s="47"/>
      <c r="G26" s="48">
        <f>S26-I26</f>
        <v>58600</v>
      </c>
      <c r="H26" s="49">
        <f t="shared" si="2"/>
        <v>589007.13</v>
      </c>
      <c r="I26" s="50">
        <v>1400</v>
      </c>
      <c r="J26" s="50">
        <v>0</v>
      </c>
      <c r="K26" s="50"/>
      <c r="L26" s="51"/>
      <c r="M26" s="52"/>
      <c r="N26" s="51"/>
      <c r="O26" s="51"/>
      <c r="P26" s="53"/>
      <c r="Q26" s="54" t="s">
        <v>51</v>
      </c>
      <c r="R26" s="55" t="str">
        <f>IFERROR(VLOOKUP(Q26,'[1]Chart of Accounts'!A$1:B$65536,2,0),"")</f>
        <v>5020305000</v>
      </c>
      <c r="S26" s="53">
        <v>60000</v>
      </c>
      <c r="Y26" s="2">
        <f t="shared" si="0"/>
        <v>1</v>
      </c>
      <c r="AA26" s="2">
        <f t="shared" si="1"/>
        <v>0</v>
      </c>
    </row>
    <row r="27" spans="1:65" ht="28.05" customHeight="1">
      <c r="A27" s="14">
        <v>44176</v>
      </c>
      <c r="B27" s="30">
        <v>61887232</v>
      </c>
      <c r="C27" s="45" t="s">
        <v>82</v>
      </c>
      <c r="D27" s="45" t="s">
        <v>83</v>
      </c>
      <c r="E27" s="46"/>
      <c r="F27" s="47">
        <f>O27-I27</f>
        <v>38913.85</v>
      </c>
      <c r="G27" s="48"/>
      <c r="H27" s="49">
        <f t="shared" si="2"/>
        <v>550093.28</v>
      </c>
      <c r="I27" s="50">
        <v>2594.2600000000002</v>
      </c>
      <c r="J27" s="50"/>
      <c r="K27" s="50">
        <v>0</v>
      </c>
      <c r="L27" s="51"/>
      <c r="M27" s="52"/>
      <c r="N27" s="51"/>
      <c r="O27" s="51">
        <v>41508.11</v>
      </c>
      <c r="P27" s="53"/>
      <c r="Q27" s="54"/>
      <c r="R27" s="55" t="str">
        <f>IFERROR(VLOOKUP(Q27,'[1]Chart of Accounts'!A$1:B$65536,2,0),"")</f>
        <v/>
      </c>
      <c r="S27" s="53">
        <v>0</v>
      </c>
      <c r="Y27" s="2">
        <f t="shared" si="0"/>
        <v>1</v>
      </c>
      <c r="AA27" s="2">
        <f t="shared" si="1"/>
        <v>0</v>
      </c>
    </row>
    <row r="28" spans="1:65" ht="28.05" customHeight="1">
      <c r="A28" s="14">
        <v>44177</v>
      </c>
      <c r="B28" s="30">
        <v>61887233</v>
      </c>
      <c r="C28" s="45" t="s">
        <v>84</v>
      </c>
      <c r="D28" s="45" t="s">
        <v>85</v>
      </c>
      <c r="E28" s="46"/>
      <c r="F28" s="47">
        <f>P28-I28</f>
        <v>24375</v>
      </c>
      <c r="G28" s="48"/>
      <c r="H28" s="49">
        <f t="shared" si="2"/>
        <v>525718.28</v>
      </c>
      <c r="I28" s="50">
        <v>1625</v>
      </c>
      <c r="J28" s="50"/>
      <c r="K28" s="50"/>
      <c r="L28" s="51">
        <v>0</v>
      </c>
      <c r="M28" s="52"/>
      <c r="N28" s="51"/>
      <c r="O28" s="51"/>
      <c r="P28" s="53">
        <v>26000</v>
      </c>
      <c r="Q28" s="54"/>
      <c r="R28" s="55" t="str">
        <f>IFERROR(VLOOKUP(Q28,'[1]Chart of Accounts'!A$1:B$65536,2,0),"")</f>
        <v/>
      </c>
      <c r="S28" s="53"/>
      <c r="Y28" s="2">
        <f t="shared" si="0"/>
        <v>1</v>
      </c>
      <c r="AA28" s="2">
        <f t="shared" si="1"/>
        <v>0</v>
      </c>
    </row>
    <row r="29" spans="1:65" ht="28.05" customHeight="1">
      <c r="A29" s="14">
        <v>44178</v>
      </c>
      <c r="B29" s="30">
        <v>61887234</v>
      </c>
      <c r="C29" s="45" t="s">
        <v>86</v>
      </c>
      <c r="D29" s="45" t="s">
        <v>87</v>
      </c>
      <c r="E29" s="46"/>
      <c r="F29" s="47">
        <f>N29-I29</f>
        <v>20372.440000000002</v>
      </c>
      <c r="G29" s="48"/>
      <c r="H29" s="49">
        <f t="shared" si="2"/>
        <v>505345.84</v>
      </c>
      <c r="I29" s="50">
        <v>415.76</v>
      </c>
      <c r="J29" s="50"/>
      <c r="K29" s="50"/>
      <c r="L29" s="51">
        <v>0</v>
      </c>
      <c r="M29" s="52"/>
      <c r="N29" s="51">
        <v>20788.2</v>
      </c>
      <c r="O29" s="51"/>
      <c r="P29" s="53"/>
      <c r="Q29" s="54"/>
      <c r="R29" s="55" t="str">
        <f>IFERROR(VLOOKUP(Q29,'[1]Chart of Accounts'!A$1:B$65536,2,0),"")</f>
        <v/>
      </c>
      <c r="S29" s="53"/>
      <c r="Y29" s="2">
        <f t="shared" si="0"/>
        <v>1</v>
      </c>
      <c r="AA29" s="2">
        <f t="shared" si="1"/>
        <v>0</v>
      </c>
    </row>
    <row r="30" spans="1:65" ht="28.05" customHeight="1">
      <c r="A30" s="14">
        <v>44179</v>
      </c>
      <c r="B30" s="30">
        <v>61887235</v>
      </c>
      <c r="C30" s="45" t="s">
        <v>60</v>
      </c>
      <c r="D30" s="45" t="s">
        <v>88</v>
      </c>
      <c r="E30" s="46"/>
      <c r="F30" s="47">
        <f>S30-I30</f>
        <v>1509.2800000000002</v>
      </c>
      <c r="G30" s="48"/>
      <c r="H30" s="49">
        <f t="shared" si="2"/>
        <v>503836.56</v>
      </c>
      <c r="I30" s="50">
        <v>100.62</v>
      </c>
      <c r="J30" s="50"/>
      <c r="K30" s="50"/>
      <c r="L30" s="51"/>
      <c r="M30" s="52">
        <v>0</v>
      </c>
      <c r="N30" s="51">
        <v>0</v>
      </c>
      <c r="O30" s="51"/>
      <c r="P30" s="53"/>
      <c r="Q30" s="54" t="s">
        <v>61</v>
      </c>
      <c r="R30" s="55" t="str">
        <f>IFERROR(VLOOKUP(Q30,'[1]Chart of Accounts'!A$1:B$65536,2,0),"")</f>
        <v>5020503000</v>
      </c>
      <c r="S30" s="53">
        <v>1609.9</v>
      </c>
      <c r="Y30" s="2">
        <f t="shared" si="0"/>
        <v>1</v>
      </c>
      <c r="AA30" s="2">
        <f t="shared" si="1"/>
        <v>0</v>
      </c>
    </row>
    <row r="31" spans="1:65" ht="28.05" customHeight="1">
      <c r="A31" s="14"/>
      <c r="B31" s="30"/>
      <c r="C31" s="45"/>
      <c r="D31" s="45"/>
      <c r="E31" s="46"/>
      <c r="F31" s="47"/>
      <c r="G31" s="48"/>
      <c r="H31" s="49"/>
      <c r="I31" s="50">
        <v>0</v>
      </c>
      <c r="J31" s="50"/>
      <c r="K31" s="50"/>
      <c r="L31" s="51"/>
      <c r="M31" s="52">
        <v>0</v>
      </c>
      <c r="N31" s="51"/>
      <c r="O31" s="51">
        <v>0</v>
      </c>
      <c r="P31" s="53">
        <v>0</v>
      </c>
      <c r="Q31" s="54"/>
      <c r="R31" s="55" t="str">
        <f>IFERROR(VLOOKUP(Q31,'[1]Chart of Accounts'!A$1:B$65536,2,0),"")</f>
        <v/>
      </c>
      <c r="S31" s="53">
        <v>0</v>
      </c>
      <c r="Y31" s="2">
        <f t="shared" si="0"/>
        <v>0</v>
      </c>
      <c r="AA31" s="2">
        <f t="shared" si="1"/>
        <v>0</v>
      </c>
    </row>
    <row r="32" spans="1:65" ht="28.05" customHeight="1">
      <c r="A32" s="14"/>
      <c r="B32" s="30"/>
      <c r="C32" s="45"/>
      <c r="D32" s="45"/>
      <c r="E32" s="46"/>
      <c r="F32" s="47"/>
      <c r="G32" s="48"/>
      <c r="H32" s="49"/>
      <c r="I32" s="50">
        <v>0</v>
      </c>
      <c r="J32" s="50"/>
      <c r="K32" s="50"/>
      <c r="L32" s="51"/>
      <c r="M32" s="52">
        <v>0</v>
      </c>
      <c r="N32" s="51">
        <v>0</v>
      </c>
      <c r="O32" s="51"/>
      <c r="P32" s="53">
        <v>0</v>
      </c>
      <c r="Q32" s="54"/>
      <c r="R32" s="55" t="str">
        <f>IFERROR(VLOOKUP(Q32,'[1]Chart of Accounts'!A$1:B$65536,2,0),"")</f>
        <v/>
      </c>
      <c r="S32" s="53">
        <v>0</v>
      </c>
      <c r="Y32" s="2">
        <f t="shared" si="0"/>
        <v>0</v>
      </c>
      <c r="AA32" s="2">
        <f t="shared" si="1"/>
        <v>0</v>
      </c>
    </row>
    <row r="33" spans="1:39" ht="28.05" customHeight="1">
      <c r="A33" s="14"/>
      <c r="B33" s="30"/>
      <c r="C33" s="45"/>
      <c r="D33" s="45"/>
      <c r="E33" s="46"/>
      <c r="F33" s="47"/>
      <c r="G33" s="48"/>
      <c r="H33" s="49"/>
      <c r="I33" s="50">
        <v>0</v>
      </c>
      <c r="J33" s="50"/>
      <c r="K33" s="50"/>
      <c r="L33" s="51"/>
      <c r="M33" s="52">
        <v>0</v>
      </c>
      <c r="N33" s="51">
        <v>0</v>
      </c>
      <c r="O33" s="51"/>
      <c r="P33" s="53">
        <v>0</v>
      </c>
      <c r="Q33" s="54"/>
      <c r="R33" s="55" t="str">
        <f>IFERROR(VLOOKUP(Q33,'[1]Chart of Accounts'!A$1:B$65536,2,0),"")</f>
        <v/>
      </c>
      <c r="S33" s="53">
        <v>0</v>
      </c>
      <c r="Y33" s="2">
        <f t="shared" si="0"/>
        <v>0</v>
      </c>
      <c r="AA33" s="2">
        <f t="shared" si="1"/>
        <v>0</v>
      </c>
    </row>
    <row r="34" spans="1:39" s="4" customFormat="1" ht="28.05" customHeight="1">
      <c r="A34" s="14"/>
      <c r="B34" s="30"/>
      <c r="C34" s="45"/>
      <c r="D34" s="45"/>
      <c r="E34" s="46"/>
      <c r="F34" s="47"/>
      <c r="G34" s="48"/>
      <c r="H34" s="49"/>
      <c r="I34" s="50">
        <v>0</v>
      </c>
      <c r="J34" s="50"/>
      <c r="K34" s="50"/>
      <c r="L34" s="51"/>
      <c r="M34" s="52">
        <v>0</v>
      </c>
      <c r="N34" s="51">
        <v>0</v>
      </c>
      <c r="O34" s="51"/>
      <c r="P34" s="53">
        <v>0</v>
      </c>
      <c r="Q34" s="54"/>
      <c r="R34" s="55" t="str">
        <f>IFERROR(VLOOKUP(Q34,'[1]Chart of Accounts'!A$1:B$65536,2,0),"")</f>
        <v/>
      </c>
      <c r="S34" s="53">
        <v>0</v>
      </c>
      <c r="Y34" s="4">
        <f>SUM(Y20:Y33)</f>
        <v>11</v>
      </c>
      <c r="Z34" s="4">
        <f>Y34+1</f>
        <v>12</v>
      </c>
      <c r="AA34" s="4">
        <f>SUM(AA20:AA33)</f>
        <v>0</v>
      </c>
    </row>
    <row r="35" spans="1:39" s="4" customFormat="1" ht="28.05" customHeight="1">
      <c r="A35" s="14"/>
      <c r="B35" s="30"/>
      <c r="C35" s="45"/>
      <c r="D35" s="45"/>
      <c r="E35" s="46"/>
      <c r="F35" s="47"/>
      <c r="G35" s="48"/>
      <c r="H35" s="49"/>
      <c r="I35" s="50">
        <v>0</v>
      </c>
      <c r="J35" s="50"/>
      <c r="K35" s="50"/>
      <c r="L35" s="51"/>
      <c r="M35" s="52">
        <v>0</v>
      </c>
      <c r="N35" s="51">
        <v>0</v>
      </c>
      <c r="O35" s="51"/>
      <c r="P35" s="53">
        <v>0</v>
      </c>
      <c r="Q35" s="54"/>
      <c r="R35" s="55" t="str">
        <f>IFERROR(VLOOKUP(Q35,'[1]Chart of Accounts'!A$1:B$65536,2,0),"")</f>
        <v/>
      </c>
      <c r="S35" s="53">
        <v>0</v>
      </c>
      <c r="Y35" s="72">
        <f>Y34-1</f>
        <v>10</v>
      </c>
    </row>
    <row r="36" spans="1:39" ht="28.05" customHeight="1">
      <c r="A36" s="14"/>
      <c r="B36" s="30"/>
      <c r="C36" s="45"/>
      <c r="D36" s="45"/>
      <c r="E36" s="46"/>
      <c r="F36" s="47"/>
      <c r="G36" s="48"/>
      <c r="H36" s="49"/>
      <c r="I36" s="50">
        <v>0</v>
      </c>
      <c r="J36" s="50"/>
      <c r="K36" s="50"/>
      <c r="L36" s="51"/>
      <c r="M36" s="52">
        <v>0</v>
      </c>
      <c r="N36" s="51">
        <v>0</v>
      </c>
      <c r="O36" s="51"/>
      <c r="P36" s="53">
        <v>0</v>
      </c>
      <c r="Q36" s="54"/>
      <c r="R36" s="55" t="str">
        <f>IFERROR(VLOOKUP(Q36,'[1]Chart of Accounts'!A$1:B$65536,2,0),"")</f>
        <v/>
      </c>
      <c r="S36" s="53">
        <v>0</v>
      </c>
      <c r="AM36" s="4" t="s">
        <v>98</v>
      </c>
    </row>
    <row r="37" spans="1:39" ht="24" customHeight="1" thickBot="1">
      <c r="A37" s="144"/>
      <c r="B37" s="159"/>
      <c r="C37" s="145"/>
      <c r="D37" s="146" t="s">
        <v>63</v>
      </c>
      <c r="E37" s="62">
        <f>SUM(E18:E33)</f>
        <v>100000</v>
      </c>
      <c r="F37" s="63">
        <f>SUM(F22:F33)</f>
        <v>123563.44</v>
      </c>
      <c r="G37" s="63">
        <f>SUM(G22:G33)</f>
        <v>172600</v>
      </c>
      <c r="H37" s="64">
        <f>H33</f>
        <v>0</v>
      </c>
      <c r="I37" s="63">
        <f>SUM(I22:I33)</f>
        <v>13742.770000000002</v>
      </c>
      <c r="J37" s="63">
        <f>SUM(J22:J33)</f>
        <v>0</v>
      </c>
      <c r="K37" s="63">
        <f>SUM(K22:K33)</f>
        <v>0</v>
      </c>
      <c r="L37" s="63">
        <f>SUM(L22:L33)</f>
        <v>10000</v>
      </c>
      <c r="M37" s="63">
        <f>SUM(M22:M33)</f>
        <v>20000</v>
      </c>
      <c r="N37" s="63">
        <f>SUM(N22:N33)</f>
        <v>20788.2</v>
      </c>
      <c r="O37" s="63">
        <f>SUM(O22:O33)</f>
        <v>41508.11</v>
      </c>
      <c r="P37" s="63">
        <f>SUM(P22:P33)</f>
        <v>26000</v>
      </c>
      <c r="Q37" s="65" t="s">
        <v>64</v>
      </c>
      <c r="R37" s="66"/>
      <c r="S37" s="67">
        <f>SUM(S22:S33)</f>
        <v>191609.9</v>
      </c>
      <c r="Y37" s="2" t="s">
        <v>68</v>
      </c>
    </row>
    <row r="38" spans="1:39" ht="28.5" customHeight="1" thickTop="1" thickBot="1">
      <c r="A38" s="143"/>
      <c r="B38" s="160"/>
      <c r="C38" s="201" t="s">
        <v>65</v>
      </c>
      <c r="D38" s="202"/>
      <c r="E38" s="203"/>
      <c r="F38" s="171">
        <f>F18+F20+F21-F37</f>
        <v>476436.56</v>
      </c>
      <c r="G38" s="171">
        <f>G18+G19+G20+G21-G37</f>
        <v>27400</v>
      </c>
      <c r="H38" s="172">
        <f>G38+F38</f>
        <v>503836.56</v>
      </c>
      <c r="I38" s="68"/>
      <c r="J38" s="68"/>
      <c r="K38" s="68"/>
      <c r="L38" s="68"/>
      <c r="M38" s="68"/>
      <c r="N38" s="68"/>
      <c r="O38" s="68"/>
      <c r="P38" s="68"/>
      <c r="Q38" s="69"/>
      <c r="R38" s="70"/>
      <c r="S38" s="71">
        <f>S37+S18</f>
        <v>191609.9</v>
      </c>
      <c r="AF38" s="2" t="s">
        <v>14</v>
      </c>
    </row>
    <row r="39" spans="1:39" ht="21" customHeight="1" thickBot="1">
      <c r="A39" s="73" t="s">
        <v>26</v>
      </c>
      <c r="B39" s="158"/>
      <c r="C39" s="204" t="s">
        <v>92</v>
      </c>
      <c r="D39" s="204"/>
      <c r="E39" s="170"/>
      <c r="F39" s="173">
        <v>500</v>
      </c>
      <c r="G39" s="174"/>
      <c r="H39" s="175">
        <f>H38+F39</f>
        <v>504336.56</v>
      </c>
      <c r="I39" s="75"/>
      <c r="J39" s="75"/>
      <c r="K39" s="75"/>
      <c r="L39" s="75"/>
      <c r="M39" s="75"/>
      <c r="N39" s="75"/>
      <c r="O39" s="75"/>
      <c r="P39" s="76"/>
      <c r="Q39" s="77" t="s">
        <v>66</v>
      </c>
      <c r="R39" s="78"/>
      <c r="S39" s="79"/>
      <c r="AF39" s="2" t="s">
        <v>18</v>
      </c>
    </row>
    <row r="40" spans="1:39" ht="21" customHeight="1" thickBot="1">
      <c r="A40" s="128"/>
      <c r="B40" s="129"/>
      <c r="C40" s="157"/>
      <c r="D40" s="150"/>
      <c r="E40" s="80" t="s">
        <v>26</v>
      </c>
      <c r="F40" s="80"/>
      <c r="G40" s="81"/>
      <c r="H40" s="82"/>
      <c r="I40" s="80"/>
      <c r="J40" s="80"/>
      <c r="K40" s="126"/>
      <c r="L40" s="81"/>
      <c r="M40" s="83"/>
      <c r="N40" s="81"/>
      <c r="O40" s="84"/>
      <c r="P40" s="85" t="s">
        <v>67</v>
      </c>
      <c r="Q40" s="86" t="s">
        <v>39</v>
      </c>
      <c r="R40" s="87" t="s">
        <v>40</v>
      </c>
      <c r="S40" s="86" t="s">
        <v>27</v>
      </c>
      <c r="AF40" s="2" t="s">
        <v>19</v>
      </c>
    </row>
    <row r="41" spans="1:39" ht="21" customHeight="1">
      <c r="A41" s="147"/>
      <c r="B41" s="155"/>
      <c r="C41" s="151"/>
      <c r="D41" s="151"/>
      <c r="E41" s="148"/>
      <c r="F41" s="123"/>
      <c r="G41" s="81"/>
      <c r="H41" s="125"/>
      <c r="I41" s="80"/>
      <c r="J41" s="80"/>
      <c r="K41" s="126"/>
      <c r="L41" s="81"/>
      <c r="M41" s="83"/>
      <c r="N41" s="81"/>
      <c r="O41" s="84"/>
      <c r="P41" s="88" t="s">
        <v>14</v>
      </c>
      <c r="Q41" s="89" t="s">
        <v>53</v>
      </c>
      <c r="R41" s="90" t="s">
        <v>59</v>
      </c>
      <c r="S41" s="53">
        <f>S23</f>
        <v>10000</v>
      </c>
    </row>
    <row r="42" spans="1:39" ht="21" customHeight="1">
      <c r="A42" s="73"/>
      <c r="B42" s="74"/>
      <c r="C42" s="156"/>
      <c r="D42" s="152"/>
      <c r="E42" s="91"/>
      <c r="F42" s="91"/>
      <c r="G42" s="81"/>
      <c r="H42" s="82"/>
      <c r="I42" s="80"/>
      <c r="J42" s="80"/>
      <c r="K42" s="126"/>
      <c r="L42" s="81"/>
      <c r="M42" s="83"/>
      <c r="N42" s="81"/>
      <c r="O42" s="84"/>
      <c r="P42" s="88" t="s">
        <v>14</v>
      </c>
      <c r="Q42" s="92" t="s">
        <v>57</v>
      </c>
      <c r="R42" s="93" t="s">
        <v>58</v>
      </c>
      <c r="S42" s="53">
        <f>S24</f>
        <v>120000</v>
      </c>
    </row>
    <row r="43" spans="1:39" ht="21" customHeight="1">
      <c r="A43" s="73"/>
      <c r="B43" s="74"/>
      <c r="C43" s="156" t="s">
        <v>26</v>
      </c>
      <c r="D43" s="152" t="s">
        <v>26</v>
      </c>
      <c r="E43" s="91"/>
      <c r="F43" s="91"/>
      <c r="G43" s="81"/>
      <c r="H43" s="82"/>
      <c r="I43" s="80"/>
      <c r="J43" s="80"/>
      <c r="K43" s="126"/>
      <c r="L43" s="81"/>
      <c r="M43" s="83"/>
      <c r="N43" s="81"/>
      <c r="O43" s="84"/>
      <c r="P43" s="88" t="s">
        <v>19</v>
      </c>
      <c r="Q43" s="92" t="s">
        <v>51</v>
      </c>
      <c r="R43" s="93" t="s">
        <v>52</v>
      </c>
      <c r="S43" s="53">
        <f>S26</f>
        <v>60000</v>
      </c>
    </row>
    <row r="44" spans="1:39" ht="21" customHeight="1">
      <c r="A44" s="73"/>
      <c r="B44" s="74"/>
      <c r="C44" s="156"/>
      <c r="D44" s="152"/>
      <c r="E44" s="91"/>
      <c r="F44" s="91"/>
      <c r="G44" s="81"/>
      <c r="H44" s="82"/>
      <c r="I44" s="80"/>
      <c r="J44" s="80"/>
      <c r="K44" s="80"/>
      <c r="L44" s="81"/>
      <c r="M44" s="83"/>
      <c r="N44" s="81"/>
      <c r="O44" s="84"/>
      <c r="P44" s="88" t="s">
        <v>14</v>
      </c>
      <c r="Q44" s="92" t="s">
        <v>61</v>
      </c>
      <c r="R44" s="93" t="s">
        <v>62</v>
      </c>
      <c r="S44" s="53">
        <f>S30</f>
        <v>1609.9</v>
      </c>
    </row>
    <row r="45" spans="1:39" ht="21" customHeight="1">
      <c r="A45" s="73"/>
      <c r="B45" s="74"/>
      <c r="C45" s="156"/>
      <c r="D45" s="153"/>
      <c r="E45" s="94"/>
      <c r="F45" s="94"/>
      <c r="G45" s="95"/>
      <c r="H45" s="82"/>
      <c r="I45" s="80"/>
      <c r="J45" s="80"/>
      <c r="K45" s="80"/>
      <c r="L45" s="81"/>
      <c r="M45" s="83"/>
      <c r="N45" s="81"/>
      <c r="O45" s="84"/>
      <c r="P45" s="88"/>
      <c r="Q45" s="92" t="s">
        <v>26</v>
      </c>
      <c r="R45" s="93"/>
      <c r="S45" s="53">
        <v>0</v>
      </c>
    </row>
    <row r="46" spans="1:39" ht="16.5" customHeight="1" thickBot="1">
      <c r="A46" s="128"/>
      <c r="B46" s="163"/>
      <c r="C46" s="157"/>
      <c r="D46" s="154" t="s">
        <v>26</v>
      </c>
      <c r="E46" s="149"/>
      <c r="F46" s="123"/>
      <c r="G46" s="81"/>
      <c r="H46" s="82"/>
      <c r="I46" s="80"/>
      <c r="J46" s="80"/>
      <c r="K46" s="80"/>
      <c r="L46" s="81"/>
      <c r="M46" s="83"/>
      <c r="N46" s="81"/>
      <c r="O46" s="84"/>
      <c r="P46" s="96"/>
      <c r="Q46" s="97" t="s">
        <v>64</v>
      </c>
      <c r="R46" s="98"/>
      <c r="S46" s="99">
        <f>SUM(S41:S45)</f>
        <v>191609.9</v>
      </c>
    </row>
    <row r="47" spans="1:39" ht="13.5" customHeight="1" thickTop="1" thickBot="1">
      <c r="A47" s="165"/>
      <c r="B47" s="164"/>
      <c r="C47" s="162"/>
      <c r="D47" s="161"/>
      <c r="E47" s="162"/>
      <c r="F47" s="100"/>
      <c r="G47" s="101"/>
      <c r="H47" s="102"/>
      <c r="I47" s="103"/>
      <c r="J47" s="103"/>
      <c r="K47" s="103"/>
      <c r="L47" s="101"/>
      <c r="M47" s="104"/>
      <c r="N47" s="101"/>
      <c r="O47" s="105"/>
      <c r="P47" s="106"/>
      <c r="Q47" s="107"/>
      <c r="R47" s="107"/>
      <c r="S47" s="108">
        <f>S38-S46</f>
        <v>0</v>
      </c>
    </row>
    <row r="48" spans="1:39" ht="22.05" customHeight="1" thickBot="1">
      <c r="A48" s="109"/>
      <c r="B48" s="110"/>
      <c r="C48" s="137"/>
      <c r="D48" s="137"/>
      <c r="E48" s="138"/>
      <c r="F48" s="138"/>
      <c r="G48" s="138"/>
      <c r="H48" s="139"/>
      <c r="I48" s="192" t="s">
        <v>91</v>
      </c>
      <c r="J48" s="192"/>
      <c r="K48" s="192"/>
      <c r="L48" s="192"/>
      <c r="M48" s="192"/>
      <c r="N48" s="192"/>
      <c r="O48" s="192"/>
      <c r="P48" s="192"/>
      <c r="Q48" s="192"/>
      <c r="R48" s="192"/>
      <c r="S48" s="193"/>
    </row>
    <row r="49" spans="1:19" ht="3.75" customHeight="1">
      <c r="A49" s="112"/>
      <c r="B49" s="131"/>
      <c r="C49" s="131"/>
      <c r="D49" s="131"/>
      <c r="E49" s="132"/>
      <c r="F49" s="132"/>
      <c r="G49" s="132"/>
      <c r="H49" s="113"/>
      <c r="S49" s="113"/>
    </row>
    <row r="50" spans="1:19" ht="3.75" customHeight="1">
      <c r="A50" s="112"/>
      <c r="B50" s="131"/>
      <c r="C50" s="131"/>
      <c r="D50" s="131"/>
      <c r="E50" s="132"/>
      <c r="F50" s="132"/>
      <c r="G50" s="132"/>
      <c r="H50" s="113"/>
      <c r="S50" s="113"/>
    </row>
    <row r="51" spans="1:19" ht="20" customHeight="1">
      <c r="A51" s="114" t="s">
        <v>69</v>
      </c>
      <c r="B51" s="233" t="s">
        <v>70</v>
      </c>
      <c r="C51" s="233"/>
      <c r="D51" s="233"/>
      <c r="E51" s="132"/>
      <c r="F51" s="132"/>
      <c r="G51" s="132"/>
      <c r="H51" s="113"/>
      <c r="J51" s="140" t="s">
        <v>71</v>
      </c>
      <c r="N51" s="115"/>
      <c r="P51" s="115"/>
      <c r="S51" s="113"/>
    </row>
    <row r="52" spans="1:19" ht="20" customHeight="1">
      <c r="A52" s="114"/>
      <c r="B52" s="133"/>
      <c r="C52" s="133"/>
      <c r="D52" s="133"/>
      <c r="E52" s="132"/>
      <c r="F52" s="132"/>
      <c r="G52" s="132"/>
      <c r="H52" s="113"/>
      <c r="J52" s="115"/>
      <c r="N52" s="115"/>
      <c r="P52" s="115"/>
      <c r="S52" s="113"/>
    </row>
    <row r="53" spans="1:19" ht="20" customHeight="1">
      <c r="A53" s="112"/>
      <c r="B53" s="183" t="s">
        <v>26</v>
      </c>
      <c r="C53" s="183"/>
      <c r="D53" s="132"/>
      <c r="E53" s="183" t="s">
        <v>26</v>
      </c>
      <c r="F53" s="183"/>
      <c r="G53" s="183"/>
      <c r="H53" s="141"/>
      <c r="J53" s="183"/>
      <c r="K53" s="183"/>
      <c r="L53" s="183"/>
      <c r="P53" s="116"/>
      <c r="Q53" s="134"/>
      <c r="S53" s="113"/>
    </row>
    <row r="54" spans="1:19" ht="20" customHeight="1">
      <c r="A54" s="112"/>
      <c r="B54" s="234" t="s">
        <v>75</v>
      </c>
      <c r="C54" s="234"/>
      <c r="D54" s="134"/>
      <c r="E54" s="184" t="s">
        <v>74</v>
      </c>
      <c r="F54" s="184"/>
      <c r="G54" s="184"/>
      <c r="H54" s="141"/>
      <c r="K54" s="136" t="s">
        <v>72</v>
      </c>
      <c r="Q54" s="117"/>
      <c r="S54" s="113"/>
    </row>
    <row r="55" spans="1:19" ht="20" customHeight="1">
      <c r="A55" s="112"/>
      <c r="B55" s="133" t="s">
        <v>73</v>
      </c>
      <c r="C55" s="135"/>
      <c r="D55" s="134"/>
      <c r="E55" s="185" t="s">
        <v>73</v>
      </c>
      <c r="F55" s="185"/>
      <c r="G55" s="185"/>
      <c r="H55" s="142"/>
      <c r="K55" s="134" t="s">
        <v>73</v>
      </c>
      <c r="Q55" s="117"/>
      <c r="S55" s="113"/>
    </row>
    <row r="56" spans="1:19" ht="20" customHeight="1" thickBot="1">
      <c r="A56" s="109"/>
      <c r="B56" s="110"/>
      <c r="C56" s="127"/>
      <c r="D56" s="118"/>
      <c r="E56" s="118"/>
      <c r="F56" s="118"/>
      <c r="G56" s="111"/>
      <c r="H56" s="119"/>
      <c r="I56" s="111"/>
      <c r="J56" s="111"/>
      <c r="K56" s="111"/>
      <c r="L56" s="111"/>
      <c r="M56" s="111"/>
      <c r="N56" s="111"/>
      <c r="O56" s="111"/>
      <c r="P56" s="111"/>
      <c r="Q56" s="118"/>
      <c r="R56" s="111"/>
      <c r="S56" s="119"/>
    </row>
    <row r="68" spans="20:21" ht="15.4" thickBot="1"/>
    <row r="69" spans="20:21">
      <c r="T69" s="190" t="s">
        <v>34</v>
      </c>
      <c r="U69" s="194" t="s">
        <v>35</v>
      </c>
    </row>
    <row r="70" spans="20:21">
      <c r="T70" s="191"/>
      <c r="U70" s="195"/>
    </row>
    <row r="71" spans="20:21">
      <c r="T71" s="2" t="e">
        <f>IF($F$17=#REF!,O22,0)</f>
        <v>#REF!</v>
      </c>
      <c r="U71" s="2" t="e">
        <f>IF($F$17=#REF!,P22,0)</f>
        <v>#REF!</v>
      </c>
    </row>
    <row r="72" spans="20:21">
      <c r="T72" s="2" t="e">
        <f>IF($F$17=#REF!,O23,0)</f>
        <v>#REF!</v>
      </c>
      <c r="U72" s="2" t="e">
        <f>IF($F$17=#REF!,P23,0)</f>
        <v>#REF!</v>
      </c>
    </row>
    <row r="73" spans="20:21">
      <c r="T73" s="2" t="e">
        <f>IF($F$17=#REF!,O24,0)</f>
        <v>#REF!</v>
      </c>
      <c r="U73" s="2" t="e">
        <f>IF($F$17=#REF!,P24,0)</f>
        <v>#REF!</v>
      </c>
    </row>
    <row r="74" spans="20:21">
      <c r="T74" s="2" t="e">
        <f>IF($F$17=#REF!,O25,0)</f>
        <v>#REF!</v>
      </c>
      <c r="U74" s="2" t="e">
        <f>IF($F$17=#REF!,P25,0)</f>
        <v>#REF!</v>
      </c>
    </row>
    <row r="75" spans="20:21">
      <c r="T75" s="2" t="e">
        <f>IF($F$17=#REF!,O26,0)</f>
        <v>#REF!</v>
      </c>
      <c r="U75" s="2" t="e">
        <f>IF($F$17=#REF!,P26,0)</f>
        <v>#REF!</v>
      </c>
    </row>
    <row r="76" spans="20:21">
      <c r="T76" s="2" t="e">
        <f>IF($F$17=#REF!,O27,0)</f>
        <v>#REF!</v>
      </c>
      <c r="U76" s="2" t="e">
        <f>IF($F$17=#REF!,P27,0)</f>
        <v>#REF!</v>
      </c>
    </row>
    <row r="77" spans="20:21">
      <c r="T77" s="2" t="e">
        <f>IF($F$17=#REF!,O28,0)</f>
        <v>#REF!</v>
      </c>
      <c r="U77" s="2" t="e">
        <f>IF($F$17=#REF!,P28,0)</f>
        <v>#REF!</v>
      </c>
    </row>
    <row r="78" spans="20:21">
      <c r="T78" s="2" t="e">
        <f>IF($F$17=#REF!,O29,0)</f>
        <v>#REF!</v>
      </c>
      <c r="U78" s="2" t="e">
        <f>IF($F$17=#REF!,P29,0)</f>
        <v>#REF!</v>
      </c>
    </row>
    <row r="79" spans="20:21">
      <c r="T79" s="2" t="e">
        <f>IF($F$17=#REF!,O30,0)</f>
        <v>#REF!</v>
      </c>
      <c r="U79" s="2" t="e">
        <f>IF($F$17=#REF!,P30,0)</f>
        <v>#REF!</v>
      </c>
    </row>
    <row r="80" spans="20:21">
      <c r="T80" s="2" t="e">
        <f>IF($F$17=#REF!,O31,0)</f>
        <v>#REF!</v>
      </c>
      <c r="U80" s="2" t="e">
        <f>IF($F$17=#REF!,P31,0)</f>
        <v>#REF!</v>
      </c>
    </row>
    <row r="81" spans="20:21">
      <c r="T81" s="2" t="e">
        <f>IF($F$17=#REF!,O32,0)</f>
        <v>#REF!</v>
      </c>
      <c r="U81" s="2" t="e">
        <f>IF($F$17=#REF!,P32,0)</f>
        <v>#REF!</v>
      </c>
    </row>
    <row r="82" spans="20:21" ht="15.4" thickBot="1">
      <c r="T82" s="2" t="e">
        <f>IF($F$17=#REF!,O33,0)</f>
        <v>#REF!</v>
      </c>
      <c r="U82" s="2" t="e">
        <f>IF($F$17=#REF!,P33,0)</f>
        <v>#REF!</v>
      </c>
    </row>
    <row r="83" spans="20:21" ht="15.4" thickBot="1">
      <c r="T83" s="120" t="e">
        <f t="shared" ref="T83:U83" si="3">SUM(T71:T82)</f>
        <v>#REF!</v>
      </c>
      <c r="U83" s="120" t="e">
        <f t="shared" si="3"/>
        <v>#REF!</v>
      </c>
    </row>
    <row r="85" spans="20:21" ht="15.4" thickBot="1"/>
    <row r="86" spans="20:21">
      <c r="T86" s="190" t="s">
        <v>34</v>
      </c>
      <c r="U86" s="194" t="s">
        <v>35</v>
      </c>
    </row>
    <row r="87" spans="20:21">
      <c r="T87" s="191"/>
      <c r="U87" s="195"/>
    </row>
    <row r="88" spans="20:21">
      <c r="T88" s="2" t="e">
        <f>IF($G$17=#REF!,O22,0)</f>
        <v>#REF!</v>
      </c>
      <c r="U88" s="2" t="e">
        <f>IF($G$17=#REF!,P22,0)</f>
        <v>#REF!</v>
      </c>
    </row>
    <row r="89" spans="20:21">
      <c r="T89" s="2" t="e">
        <f>IF($G$17=#REF!,O23,0)</f>
        <v>#REF!</v>
      </c>
      <c r="U89" s="2" t="e">
        <f>IF($G$17=#REF!,P23,0)</f>
        <v>#REF!</v>
      </c>
    </row>
    <row r="90" spans="20:21">
      <c r="T90" s="2" t="e">
        <f>IF($G$17=#REF!,O24,0)</f>
        <v>#REF!</v>
      </c>
      <c r="U90" s="2" t="e">
        <f>IF($G$17=#REF!,P24,0)</f>
        <v>#REF!</v>
      </c>
    </row>
    <row r="91" spans="20:21">
      <c r="T91" s="2" t="e">
        <f>IF($G$17=#REF!,O25,0)</f>
        <v>#REF!</v>
      </c>
      <c r="U91" s="2" t="e">
        <f>IF($G$17=#REF!,P25,0)</f>
        <v>#REF!</v>
      </c>
    </row>
    <row r="92" spans="20:21">
      <c r="T92" s="2" t="e">
        <f>IF($G$17=#REF!,O26,0)</f>
        <v>#REF!</v>
      </c>
      <c r="U92" s="2" t="e">
        <f>IF($G$17=#REF!,P26,0)</f>
        <v>#REF!</v>
      </c>
    </row>
    <row r="93" spans="20:21">
      <c r="T93" s="2" t="e">
        <f>IF($G$17=#REF!,O27,0)</f>
        <v>#REF!</v>
      </c>
      <c r="U93" s="2" t="e">
        <f>IF($G$17=#REF!,P27,0)</f>
        <v>#REF!</v>
      </c>
    </row>
    <row r="94" spans="20:21">
      <c r="T94" s="2" t="e">
        <f>IF($G$17=#REF!,O28,0)</f>
        <v>#REF!</v>
      </c>
      <c r="U94" s="2" t="e">
        <f>IF($G$17=#REF!,P28,0)</f>
        <v>#REF!</v>
      </c>
    </row>
    <row r="95" spans="20:21">
      <c r="T95" s="2" t="e">
        <f>IF($G$17=#REF!,O29,0)</f>
        <v>#REF!</v>
      </c>
      <c r="U95" s="2" t="e">
        <f>IF($G$17=#REF!,P29,0)</f>
        <v>#REF!</v>
      </c>
    </row>
    <row r="96" spans="20:21">
      <c r="T96" s="2" t="e">
        <f>IF($G$17=#REF!,O30,0)</f>
        <v>#REF!</v>
      </c>
      <c r="U96" s="2" t="e">
        <f>IF($G$17=#REF!,P30,0)</f>
        <v>#REF!</v>
      </c>
    </row>
    <row r="97" spans="1:54">
      <c r="T97" s="2" t="e">
        <f>IF($G$17=#REF!,O31,0)</f>
        <v>#REF!</v>
      </c>
      <c r="U97" s="2" t="e">
        <f>IF($G$17=#REF!,P31,0)</f>
        <v>#REF!</v>
      </c>
    </row>
    <row r="98" spans="1:54">
      <c r="T98" s="2" t="e">
        <f>IF($G$17=#REF!,O32,0)</f>
        <v>#REF!</v>
      </c>
      <c r="U98" s="2" t="e">
        <f>IF($G$17=#REF!,P32,0)</f>
        <v>#REF!</v>
      </c>
    </row>
    <row r="99" spans="1:54" ht="15.4" thickBot="1">
      <c r="T99" s="2" t="e">
        <f>IF($G$17=#REF!,O33,0)</f>
        <v>#REF!</v>
      </c>
      <c r="U99" s="2" t="e">
        <f>IF($G$17=#REF!,P33,0)</f>
        <v>#REF!</v>
      </c>
    </row>
    <row r="100" spans="1:54" s="7" customFormat="1" ht="15.4" thickBot="1">
      <c r="A100" s="121"/>
      <c r="E100" s="8"/>
      <c r="F100" s="8"/>
      <c r="G100" s="8"/>
      <c r="H100" s="8"/>
      <c r="I100" s="8"/>
      <c r="J100" s="8"/>
      <c r="K100" s="8"/>
      <c r="L100" s="8"/>
      <c r="M100" s="8"/>
      <c r="N100" s="8"/>
      <c r="O100" s="8"/>
      <c r="P100" s="8"/>
      <c r="Q100" s="8"/>
      <c r="R100" s="8"/>
      <c r="S100" s="8"/>
      <c r="T100" s="122" t="e">
        <f t="shared" ref="T100:U100" si="4">SUM(T88:T99)</f>
        <v>#REF!</v>
      </c>
      <c r="U100" s="122" t="e">
        <f t="shared" si="4"/>
        <v>#REF!</v>
      </c>
      <c r="AJ100" s="5"/>
      <c r="AK100" s="5"/>
      <c r="AL100" s="5"/>
      <c r="AM100" s="5"/>
      <c r="AN100" s="5"/>
      <c r="AO100" s="5"/>
      <c r="AP100" s="5"/>
      <c r="AQ100" s="5"/>
      <c r="AR100" s="5"/>
      <c r="AS100" s="5"/>
      <c r="AT100" s="5"/>
      <c r="AU100" s="5"/>
      <c r="AV100" s="5"/>
      <c r="AW100" s="5"/>
      <c r="AX100" s="5"/>
      <c r="AY100" s="5"/>
      <c r="AZ100" s="5"/>
      <c r="BA100" s="5"/>
      <c r="BB100" s="5"/>
    </row>
  </sheetData>
  <mergeCells count="46">
    <mergeCell ref="B51:D51"/>
    <mergeCell ref="B53:C53"/>
    <mergeCell ref="J53:L53"/>
    <mergeCell ref="B54:C54"/>
    <mergeCell ref="U86:U87"/>
    <mergeCell ref="T69:T70"/>
    <mergeCell ref="U69:U70"/>
    <mergeCell ref="T86:T87"/>
    <mergeCell ref="C10:G10"/>
    <mergeCell ref="P10:S10"/>
    <mergeCell ref="P11:S11"/>
    <mergeCell ref="A13:A17"/>
    <mergeCell ref="B13:B17"/>
    <mergeCell ref="C13:C17"/>
    <mergeCell ref="D13:D17"/>
    <mergeCell ref="E13:H13"/>
    <mergeCell ref="E14:H14"/>
    <mergeCell ref="E15:H15"/>
    <mergeCell ref="J15:J16"/>
    <mergeCell ref="K15:K16"/>
    <mergeCell ref="L15:L16"/>
    <mergeCell ref="E16:E17"/>
    <mergeCell ref="F16:G16"/>
    <mergeCell ref="H16:H17"/>
    <mergeCell ref="A5:S5"/>
    <mergeCell ref="C7:G7"/>
    <mergeCell ref="P7:Q7"/>
    <mergeCell ref="C8:G8"/>
    <mergeCell ref="C9:G9"/>
    <mergeCell ref="P9:S9"/>
    <mergeCell ref="J13:S14"/>
    <mergeCell ref="I13:I16"/>
    <mergeCell ref="E53:G53"/>
    <mergeCell ref="E54:G54"/>
    <mergeCell ref="E55:G55"/>
    <mergeCell ref="Q16:Q17"/>
    <mergeCell ref="R16:R17"/>
    <mergeCell ref="M15:M16"/>
    <mergeCell ref="I48:S48"/>
    <mergeCell ref="N15:N16"/>
    <mergeCell ref="O15:O16"/>
    <mergeCell ref="P15:P16"/>
    <mergeCell ref="Q15:S15"/>
    <mergeCell ref="S16:S17"/>
    <mergeCell ref="C38:E38"/>
    <mergeCell ref="C39:D39"/>
  </mergeCells>
  <dataValidations count="4">
    <dataValidation type="list" allowBlank="1" showInputMessage="1" showErrorMessage="1" sqref="P41:P45 WLS983078:WLS983085 WBW983078:WBW983085 VSA983078:VSA983085 VIE983078:VIE983085 UYI983078:UYI983085 UOM983078:UOM983085 UEQ983078:UEQ983085 TUU983078:TUU983085 TKY983078:TKY983085 TBC983078:TBC983085 SRG983078:SRG983085 SHK983078:SHK983085 RXO983078:RXO983085 RNS983078:RNS983085 RDW983078:RDW983085 QUA983078:QUA983085 QKE983078:QKE983085 QAI983078:QAI983085 PQM983078:PQM983085 PGQ983078:PGQ983085 OWU983078:OWU983085 OMY983078:OMY983085 ODC983078:ODC983085 NTG983078:NTG983085 NJK983078:NJK983085 MZO983078:MZO983085 MPS983078:MPS983085 MFW983078:MFW983085 LWA983078:LWA983085 LME983078:LME983085 LCI983078:LCI983085 KSM983078:KSM983085 KIQ983078:KIQ983085 JYU983078:JYU983085 JOY983078:JOY983085 JFC983078:JFC983085 IVG983078:IVG983085 ILK983078:ILK983085 IBO983078:IBO983085 HRS983078:HRS983085 HHW983078:HHW983085 GYA983078:GYA983085 GOE983078:GOE983085 GEI983078:GEI983085 FUM983078:FUM983085 FKQ983078:FKQ983085 FAU983078:FAU983085 EQY983078:EQY983085 EHC983078:EHC983085 DXG983078:DXG983085 DNK983078:DNK983085 DDO983078:DDO983085 CTS983078:CTS983085 CJW983078:CJW983085 CAA983078:CAA983085 BQE983078:BQE983085 BGI983078:BGI983085 AWM983078:AWM983085 AMQ983078:AMQ983085 ACU983078:ACU983085 SY983078:SY983085 JC983078:JC983085 P983078:P983085 WVO917542:WVO917549 WLS917542:WLS917549 WBW917542:WBW917549 VSA917542:VSA917549 VIE917542:VIE917549 UYI917542:UYI917549 UOM917542:UOM917549 UEQ917542:UEQ917549 TUU917542:TUU917549 TKY917542:TKY917549 TBC917542:TBC917549 SRG917542:SRG917549 SHK917542:SHK917549 RXO917542:RXO917549 RNS917542:RNS917549 RDW917542:RDW917549 QUA917542:QUA917549 QKE917542:QKE917549 QAI917542:QAI917549 PQM917542:PQM917549 PGQ917542:PGQ917549 OWU917542:OWU917549 OMY917542:OMY917549 ODC917542:ODC917549 NTG917542:NTG917549 NJK917542:NJK917549 MZO917542:MZO917549 MPS917542:MPS917549 MFW917542:MFW917549 LWA917542:LWA917549 LME917542:LME917549 LCI917542:LCI917549 KSM917542:KSM917549 KIQ917542:KIQ917549 JYU917542:JYU917549 JOY917542:JOY917549 JFC917542:JFC917549 IVG917542:IVG917549 ILK917542:ILK917549 IBO917542:IBO917549 HRS917542:HRS917549 HHW917542:HHW917549 GYA917542:GYA917549 GOE917542:GOE917549 GEI917542:GEI917549 FUM917542:FUM917549 FKQ917542:FKQ917549 FAU917542:FAU917549 EQY917542:EQY917549 EHC917542:EHC917549 DXG917542:DXG917549 DNK917542:DNK917549 DDO917542:DDO917549 CTS917542:CTS917549 CJW917542:CJW917549 CAA917542:CAA917549 BQE917542:BQE917549 BGI917542:BGI917549 AWM917542:AWM917549 AMQ917542:AMQ917549 ACU917542:ACU917549 SY917542:SY917549 JC917542:JC917549 P917542:P917549 WVO852006:WVO852013 WLS852006:WLS852013 WBW852006:WBW852013 VSA852006:VSA852013 VIE852006:VIE852013 UYI852006:UYI852013 UOM852006:UOM852013 UEQ852006:UEQ852013 TUU852006:TUU852013 TKY852006:TKY852013 TBC852006:TBC852013 SRG852006:SRG852013 SHK852006:SHK852013 RXO852006:RXO852013 RNS852006:RNS852013 RDW852006:RDW852013 QUA852006:QUA852013 QKE852006:QKE852013 QAI852006:QAI852013 PQM852006:PQM852013 PGQ852006:PGQ852013 OWU852006:OWU852013 OMY852006:OMY852013 ODC852006:ODC852013 NTG852006:NTG852013 NJK852006:NJK852013 MZO852006:MZO852013 MPS852006:MPS852013 MFW852006:MFW852013 LWA852006:LWA852013 LME852006:LME852013 LCI852006:LCI852013 KSM852006:KSM852013 KIQ852006:KIQ852013 JYU852006:JYU852013 JOY852006:JOY852013 JFC852006:JFC852013 IVG852006:IVG852013 ILK852006:ILK852013 IBO852006:IBO852013 HRS852006:HRS852013 HHW852006:HHW852013 GYA852006:GYA852013 GOE852006:GOE852013 GEI852006:GEI852013 FUM852006:FUM852013 FKQ852006:FKQ852013 FAU852006:FAU852013 EQY852006:EQY852013 EHC852006:EHC852013 DXG852006:DXG852013 DNK852006:DNK852013 DDO852006:DDO852013 CTS852006:CTS852013 CJW852006:CJW852013 CAA852006:CAA852013 BQE852006:BQE852013 BGI852006:BGI852013 AWM852006:AWM852013 AMQ852006:AMQ852013 ACU852006:ACU852013 SY852006:SY852013 JC852006:JC852013 P852006:P852013 WVO786470:WVO786477 WLS786470:WLS786477 WBW786470:WBW786477 VSA786470:VSA786477 VIE786470:VIE786477 UYI786470:UYI786477 UOM786470:UOM786477 UEQ786470:UEQ786477 TUU786470:TUU786477 TKY786470:TKY786477 TBC786470:TBC786477 SRG786470:SRG786477 SHK786470:SHK786477 RXO786470:RXO786477 RNS786470:RNS786477 RDW786470:RDW786477 QUA786470:QUA786477 QKE786470:QKE786477 QAI786470:QAI786477 PQM786470:PQM786477 PGQ786470:PGQ786477 OWU786470:OWU786477 OMY786470:OMY786477 ODC786470:ODC786477 NTG786470:NTG786477 NJK786470:NJK786477 MZO786470:MZO786477 MPS786470:MPS786477 MFW786470:MFW786477 LWA786470:LWA786477 LME786470:LME786477 LCI786470:LCI786477 KSM786470:KSM786477 KIQ786470:KIQ786477 JYU786470:JYU786477 JOY786470:JOY786477 JFC786470:JFC786477 IVG786470:IVG786477 ILK786470:ILK786477 IBO786470:IBO786477 HRS786470:HRS786477 HHW786470:HHW786477 GYA786470:GYA786477 GOE786470:GOE786477 GEI786470:GEI786477 FUM786470:FUM786477 FKQ786470:FKQ786477 FAU786470:FAU786477 EQY786470:EQY786477 EHC786470:EHC786477 DXG786470:DXG786477 DNK786470:DNK786477 DDO786470:DDO786477 CTS786470:CTS786477 CJW786470:CJW786477 CAA786470:CAA786477 BQE786470:BQE786477 BGI786470:BGI786477 AWM786470:AWM786477 AMQ786470:AMQ786477 ACU786470:ACU786477 SY786470:SY786477 JC786470:JC786477 P786470:P786477 WVO720934:WVO720941 WLS720934:WLS720941 WBW720934:WBW720941 VSA720934:VSA720941 VIE720934:VIE720941 UYI720934:UYI720941 UOM720934:UOM720941 UEQ720934:UEQ720941 TUU720934:TUU720941 TKY720934:TKY720941 TBC720934:TBC720941 SRG720934:SRG720941 SHK720934:SHK720941 RXO720934:RXO720941 RNS720934:RNS720941 RDW720934:RDW720941 QUA720934:QUA720941 QKE720934:QKE720941 QAI720934:QAI720941 PQM720934:PQM720941 PGQ720934:PGQ720941 OWU720934:OWU720941 OMY720934:OMY720941 ODC720934:ODC720941 NTG720934:NTG720941 NJK720934:NJK720941 MZO720934:MZO720941 MPS720934:MPS720941 MFW720934:MFW720941 LWA720934:LWA720941 LME720934:LME720941 LCI720934:LCI720941 KSM720934:KSM720941 KIQ720934:KIQ720941 JYU720934:JYU720941 JOY720934:JOY720941 JFC720934:JFC720941 IVG720934:IVG720941 ILK720934:ILK720941 IBO720934:IBO720941 HRS720934:HRS720941 HHW720934:HHW720941 GYA720934:GYA720941 GOE720934:GOE720941 GEI720934:GEI720941 FUM720934:FUM720941 FKQ720934:FKQ720941 FAU720934:FAU720941 EQY720934:EQY720941 EHC720934:EHC720941 DXG720934:DXG720941 DNK720934:DNK720941 DDO720934:DDO720941 CTS720934:CTS720941 CJW720934:CJW720941 CAA720934:CAA720941 BQE720934:BQE720941 BGI720934:BGI720941 AWM720934:AWM720941 AMQ720934:AMQ720941 ACU720934:ACU720941 SY720934:SY720941 JC720934:JC720941 P720934:P720941 WVO655398:WVO655405 WLS655398:WLS655405 WBW655398:WBW655405 VSA655398:VSA655405 VIE655398:VIE655405 UYI655398:UYI655405 UOM655398:UOM655405 UEQ655398:UEQ655405 TUU655398:TUU655405 TKY655398:TKY655405 TBC655398:TBC655405 SRG655398:SRG655405 SHK655398:SHK655405 RXO655398:RXO655405 RNS655398:RNS655405 RDW655398:RDW655405 QUA655398:QUA655405 QKE655398:QKE655405 QAI655398:QAI655405 PQM655398:PQM655405 PGQ655398:PGQ655405 OWU655398:OWU655405 OMY655398:OMY655405 ODC655398:ODC655405 NTG655398:NTG655405 NJK655398:NJK655405 MZO655398:MZO655405 MPS655398:MPS655405 MFW655398:MFW655405 LWA655398:LWA655405 LME655398:LME655405 LCI655398:LCI655405 KSM655398:KSM655405 KIQ655398:KIQ655405 JYU655398:JYU655405 JOY655398:JOY655405 JFC655398:JFC655405 IVG655398:IVG655405 ILK655398:ILK655405 IBO655398:IBO655405 HRS655398:HRS655405 HHW655398:HHW655405 GYA655398:GYA655405 GOE655398:GOE655405 GEI655398:GEI655405 FUM655398:FUM655405 FKQ655398:FKQ655405 FAU655398:FAU655405 EQY655398:EQY655405 EHC655398:EHC655405 DXG655398:DXG655405 DNK655398:DNK655405 DDO655398:DDO655405 CTS655398:CTS655405 CJW655398:CJW655405 CAA655398:CAA655405 BQE655398:BQE655405 BGI655398:BGI655405 AWM655398:AWM655405 AMQ655398:AMQ655405 ACU655398:ACU655405 SY655398:SY655405 JC655398:JC655405 P655398:P655405 WVO589862:WVO589869 WLS589862:WLS589869 WBW589862:WBW589869 VSA589862:VSA589869 VIE589862:VIE589869 UYI589862:UYI589869 UOM589862:UOM589869 UEQ589862:UEQ589869 TUU589862:TUU589869 TKY589862:TKY589869 TBC589862:TBC589869 SRG589862:SRG589869 SHK589862:SHK589869 RXO589862:RXO589869 RNS589862:RNS589869 RDW589862:RDW589869 QUA589862:QUA589869 QKE589862:QKE589869 QAI589862:QAI589869 PQM589862:PQM589869 PGQ589862:PGQ589869 OWU589862:OWU589869 OMY589862:OMY589869 ODC589862:ODC589869 NTG589862:NTG589869 NJK589862:NJK589869 MZO589862:MZO589869 MPS589862:MPS589869 MFW589862:MFW589869 LWA589862:LWA589869 LME589862:LME589869 LCI589862:LCI589869 KSM589862:KSM589869 KIQ589862:KIQ589869 JYU589862:JYU589869 JOY589862:JOY589869 JFC589862:JFC589869 IVG589862:IVG589869 ILK589862:ILK589869 IBO589862:IBO589869 HRS589862:HRS589869 HHW589862:HHW589869 GYA589862:GYA589869 GOE589862:GOE589869 GEI589862:GEI589869 FUM589862:FUM589869 FKQ589862:FKQ589869 FAU589862:FAU589869 EQY589862:EQY589869 EHC589862:EHC589869 DXG589862:DXG589869 DNK589862:DNK589869 DDO589862:DDO589869 CTS589862:CTS589869 CJW589862:CJW589869 CAA589862:CAA589869 BQE589862:BQE589869 BGI589862:BGI589869 AWM589862:AWM589869 AMQ589862:AMQ589869 ACU589862:ACU589869 SY589862:SY589869 JC589862:JC589869 P589862:P589869 WVO524326:WVO524333 WLS524326:WLS524333 WBW524326:WBW524333 VSA524326:VSA524333 VIE524326:VIE524333 UYI524326:UYI524333 UOM524326:UOM524333 UEQ524326:UEQ524333 TUU524326:TUU524333 TKY524326:TKY524333 TBC524326:TBC524333 SRG524326:SRG524333 SHK524326:SHK524333 RXO524326:RXO524333 RNS524326:RNS524333 RDW524326:RDW524333 QUA524326:QUA524333 QKE524326:QKE524333 QAI524326:QAI524333 PQM524326:PQM524333 PGQ524326:PGQ524333 OWU524326:OWU524333 OMY524326:OMY524333 ODC524326:ODC524333 NTG524326:NTG524333 NJK524326:NJK524333 MZO524326:MZO524333 MPS524326:MPS524333 MFW524326:MFW524333 LWA524326:LWA524333 LME524326:LME524333 LCI524326:LCI524333 KSM524326:KSM524333 KIQ524326:KIQ524333 JYU524326:JYU524333 JOY524326:JOY524333 JFC524326:JFC524333 IVG524326:IVG524333 ILK524326:ILK524333 IBO524326:IBO524333 HRS524326:HRS524333 HHW524326:HHW524333 GYA524326:GYA524333 GOE524326:GOE524333 GEI524326:GEI524333 FUM524326:FUM524333 FKQ524326:FKQ524333 FAU524326:FAU524333 EQY524326:EQY524333 EHC524326:EHC524333 DXG524326:DXG524333 DNK524326:DNK524333 DDO524326:DDO524333 CTS524326:CTS524333 CJW524326:CJW524333 CAA524326:CAA524333 BQE524326:BQE524333 BGI524326:BGI524333 AWM524326:AWM524333 AMQ524326:AMQ524333 ACU524326:ACU524333 SY524326:SY524333 JC524326:JC524333 P524326:P524333 WVO458790:WVO458797 WLS458790:WLS458797 WBW458790:WBW458797 VSA458790:VSA458797 VIE458790:VIE458797 UYI458790:UYI458797 UOM458790:UOM458797 UEQ458790:UEQ458797 TUU458790:TUU458797 TKY458790:TKY458797 TBC458790:TBC458797 SRG458790:SRG458797 SHK458790:SHK458797 RXO458790:RXO458797 RNS458790:RNS458797 RDW458790:RDW458797 QUA458790:QUA458797 QKE458790:QKE458797 QAI458790:QAI458797 PQM458790:PQM458797 PGQ458790:PGQ458797 OWU458790:OWU458797 OMY458790:OMY458797 ODC458790:ODC458797 NTG458790:NTG458797 NJK458790:NJK458797 MZO458790:MZO458797 MPS458790:MPS458797 MFW458790:MFW458797 LWA458790:LWA458797 LME458790:LME458797 LCI458790:LCI458797 KSM458790:KSM458797 KIQ458790:KIQ458797 JYU458790:JYU458797 JOY458790:JOY458797 JFC458790:JFC458797 IVG458790:IVG458797 ILK458790:ILK458797 IBO458790:IBO458797 HRS458790:HRS458797 HHW458790:HHW458797 GYA458790:GYA458797 GOE458790:GOE458797 GEI458790:GEI458797 FUM458790:FUM458797 FKQ458790:FKQ458797 FAU458790:FAU458797 EQY458790:EQY458797 EHC458790:EHC458797 DXG458790:DXG458797 DNK458790:DNK458797 DDO458790:DDO458797 CTS458790:CTS458797 CJW458790:CJW458797 CAA458790:CAA458797 BQE458790:BQE458797 BGI458790:BGI458797 AWM458790:AWM458797 AMQ458790:AMQ458797 ACU458790:ACU458797 SY458790:SY458797 JC458790:JC458797 P458790:P458797 WVO393254:WVO393261 WLS393254:WLS393261 WBW393254:WBW393261 VSA393254:VSA393261 VIE393254:VIE393261 UYI393254:UYI393261 UOM393254:UOM393261 UEQ393254:UEQ393261 TUU393254:TUU393261 TKY393254:TKY393261 TBC393254:TBC393261 SRG393254:SRG393261 SHK393254:SHK393261 RXO393254:RXO393261 RNS393254:RNS393261 RDW393254:RDW393261 QUA393254:QUA393261 QKE393254:QKE393261 QAI393254:QAI393261 PQM393254:PQM393261 PGQ393254:PGQ393261 OWU393254:OWU393261 OMY393254:OMY393261 ODC393254:ODC393261 NTG393254:NTG393261 NJK393254:NJK393261 MZO393254:MZO393261 MPS393254:MPS393261 MFW393254:MFW393261 LWA393254:LWA393261 LME393254:LME393261 LCI393254:LCI393261 KSM393254:KSM393261 KIQ393254:KIQ393261 JYU393254:JYU393261 JOY393254:JOY393261 JFC393254:JFC393261 IVG393254:IVG393261 ILK393254:ILK393261 IBO393254:IBO393261 HRS393254:HRS393261 HHW393254:HHW393261 GYA393254:GYA393261 GOE393254:GOE393261 GEI393254:GEI393261 FUM393254:FUM393261 FKQ393254:FKQ393261 FAU393254:FAU393261 EQY393254:EQY393261 EHC393254:EHC393261 DXG393254:DXG393261 DNK393254:DNK393261 DDO393254:DDO393261 CTS393254:CTS393261 CJW393254:CJW393261 CAA393254:CAA393261 BQE393254:BQE393261 BGI393254:BGI393261 AWM393254:AWM393261 AMQ393254:AMQ393261 ACU393254:ACU393261 SY393254:SY393261 JC393254:JC393261 P393254:P393261 WVO327718:WVO327725 WLS327718:WLS327725 WBW327718:WBW327725 VSA327718:VSA327725 VIE327718:VIE327725 UYI327718:UYI327725 UOM327718:UOM327725 UEQ327718:UEQ327725 TUU327718:TUU327725 TKY327718:TKY327725 TBC327718:TBC327725 SRG327718:SRG327725 SHK327718:SHK327725 RXO327718:RXO327725 RNS327718:RNS327725 RDW327718:RDW327725 QUA327718:QUA327725 QKE327718:QKE327725 QAI327718:QAI327725 PQM327718:PQM327725 PGQ327718:PGQ327725 OWU327718:OWU327725 OMY327718:OMY327725 ODC327718:ODC327725 NTG327718:NTG327725 NJK327718:NJK327725 MZO327718:MZO327725 MPS327718:MPS327725 MFW327718:MFW327725 LWA327718:LWA327725 LME327718:LME327725 LCI327718:LCI327725 KSM327718:KSM327725 KIQ327718:KIQ327725 JYU327718:JYU327725 JOY327718:JOY327725 JFC327718:JFC327725 IVG327718:IVG327725 ILK327718:ILK327725 IBO327718:IBO327725 HRS327718:HRS327725 HHW327718:HHW327725 GYA327718:GYA327725 GOE327718:GOE327725 GEI327718:GEI327725 FUM327718:FUM327725 FKQ327718:FKQ327725 FAU327718:FAU327725 EQY327718:EQY327725 EHC327718:EHC327725 DXG327718:DXG327725 DNK327718:DNK327725 DDO327718:DDO327725 CTS327718:CTS327725 CJW327718:CJW327725 CAA327718:CAA327725 BQE327718:BQE327725 BGI327718:BGI327725 AWM327718:AWM327725 AMQ327718:AMQ327725 ACU327718:ACU327725 SY327718:SY327725 JC327718:JC327725 P327718:P327725 WVO262182:WVO262189 WLS262182:WLS262189 WBW262182:WBW262189 VSA262182:VSA262189 VIE262182:VIE262189 UYI262182:UYI262189 UOM262182:UOM262189 UEQ262182:UEQ262189 TUU262182:TUU262189 TKY262182:TKY262189 TBC262182:TBC262189 SRG262182:SRG262189 SHK262182:SHK262189 RXO262182:RXO262189 RNS262182:RNS262189 RDW262182:RDW262189 QUA262182:QUA262189 QKE262182:QKE262189 QAI262182:QAI262189 PQM262182:PQM262189 PGQ262182:PGQ262189 OWU262182:OWU262189 OMY262182:OMY262189 ODC262182:ODC262189 NTG262182:NTG262189 NJK262182:NJK262189 MZO262182:MZO262189 MPS262182:MPS262189 MFW262182:MFW262189 LWA262182:LWA262189 LME262182:LME262189 LCI262182:LCI262189 KSM262182:KSM262189 KIQ262182:KIQ262189 JYU262182:JYU262189 JOY262182:JOY262189 JFC262182:JFC262189 IVG262182:IVG262189 ILK262182:ILK262189 IBO262182:IBO262189 HRS262182:HRS262189 HHW262182:HHW262189 GYA262182:GYA262189 GOE262182:GOE262189 GEI262182:GEI262189 FUM262182:FUM262189 FKQ262182:FKQ262189 FAU262182:FAU262189 EQY262182:EQY262189 EHC262182:EHC262189 DXG262182:DXG262189 DNK262182:DNK262189 DDO262182:DDO262189 CTS262182:CTS262189 CJW262182:CJW262189 CAA262182:CAA262189 BQE262182:BQE262189 BGI262182:BGI262189 AWM262182:AWM262189 AMQ262182:AMQ262189 ACU262182:ACU262189 SY262182:SY262189 JC262182:JC262189 P262182:P262189 WVO196646:WVO196653 WLS196646:WLS196653 WBW196646:WBW196653 VSA196646:VSA196653 VIE196646:VIE196653 UYI196646:UYI196653 UOM196646:UOM196653 UEQ196646:UEQ196653 TUU196646:TUU196653 TKY196646:TKY196653 TBC196646:TBC196653 SRG196646:SRG196653 SHK196646:SHK196653 RXO196646:RXO196653 RNS196646:RNS196653 RDW196646:RDW196653 QUA196646:QUA196653 QKE196646:QKE196653 QAI196646:QAI196653 PQM196646:PQM196653 PGQ196646:PGQ196653 OWU196646:OWU196653 OMY196646:OMY196653 ODC196646:ODC196653 NTG196646:NTG196653 NJK196646:NJK196653 MZO196646:MZO196653 MPS196646:MPS196653 MFW196646:MFW196653 LWA196646:LWA196653 LME196646:LME196653 LCI196646:LCI196653 KSM196646:KSM196653 KIQ196646:KIQ196653 JYU196646:JYU196653 JOY196646:JOY196653 JFC196646:JFC196653 IVG196646:IVG196653 ILK196646:ILK196653 IBO196646:IBO196653 HRS196646:HRS196653 HHW196646:HHW196653 GYA196646:GYA196653 GOE196646:GOE196653 GEI196646:GEI196653 FUM196646:FUM196653 FKQ196646:FKQ196653 FAU196646:FAU196653 EQY196646:EQY196653 EHC196646:EHC196653 DXG196646:DXG196653 DNK196646:DNK196653 DDO196646:DDO196653 CTS196646:CTS196653 CJW196646:CJW196653 CAA196646:CAA196653 BQE196646:BQE196653 BGI196646:BGI196653 AWM196646:AWM196653 AMQ196646:AMQ196653 ACU196646:ACU196653 SY196646:SY196653 JC196646:JC196653 P196646:P196653 WVO131110:WVO131117 WLS131110:WLS131117 WBW131110:WBW131117 VSA131110:VSA131117 VIE131110:VIE131117 UYI131110:UYI131117 UOM131110:UOM131117 UEQ131110:UEQ131117 TUU131110:TUU131117 TKY131110:TKY131117 TBC131110:TBC131117 SRG131110:SRG131117 SHK131110:SHK131117 RXO131110:RXO131117 RNS131110:RNS131117 RDW131110:RDW131117 QUA131110:QUA131117 QKE131110:QKE131117 QAI131110:QAI131117 PQM131110:PQM131117 PGQ131110:PGQ131117 OWU131110:OWU131117 OMY131110:OMY131117 ODC131110:ODC131117 NTG131110:NTG131117 NJK131110:NJK131117 MZO131110:MZO131117 MPS131110:MPS131117 MFW131110:MFW131117 LWA131110:LWA131117 LME131110:LME131117 LCI131110:LCI131117 KSM131110:KSM131117 KIQ131110:KIQ131117 JYU131110:JYU131117 JOY131110:JOY131117 JFC131110:JFC131117 IVG131110:IVG131117 ILK131110:ILK131117 IBO131110:IBO131117 HRS131110:HRS131117 HHW131110:HHW131117 GYA131110:GYA131117 GOE131110:GOE131117 GEI131110:GEI131117 FUM131110:FUM131117 FKQ131110:FKQ131117 FAU131110:FAU131117 EQY131110:EQY131117 EHC131110:EHC131117 DXG131110:DXG131117 DNK131110:DNK131117 DDO131110:DDO131117 CTS131110:CTS131117 CJW131110:CJW131117 CAA131110:CAA131117 BQE131110:BQE131117 BGI131110:BGI131117 AWM131110:AWM131117 AMQ131110:AMQ131117 ACU131110:ACU131117 SY131110:SY131117 JC131110:JC131117 P131110:P131117 WVO65574:WVO65581 WLS65574:WLS65581 WBW65574:WBW65581 VSA65574:VSA65581 VIE65574:VIE65581 UYI65574:UYI65581 UOM65574:UOM65581 UEQ65574:UEQ65581 TUU65574:TUU65581 TKY65574:TKY65581 TBC65574:TBC65581 SRG65574:SRG65581 SHK65574:SHK65581 RXO65574:RXO65581 RNS65574:RNS65581 RDW65574:RDW65581 QUA65574:QUA65581 QKE65574:QKE65581 QAI65574:QAI65581 PQM65574:PQM65581 PGQ65574:PGQ65581 OWU65574:OWU65581 OMY65574:OMY65581 ODC65574:ODC65581 NTG65574:NTG65581 NJK65574:NJK65581 MZO65574:MZO65581 MPS65574:MPS65581 MFW65574:MFW65581 LWA65574:LWA65581 LME65574:LME65581 LCI65574:LCI65581 KSM65574:KSM65581 KIQ65574:KIQ65581 JYU65574:JYU65581 JOY65574:JOY65581 JFC65574:JFC65581 IVG65574:IVG65581 ILK65574:ILK65581 IBO65574:IBO65581 HRS65574:HRS65581 HHW65574:HHW65581 GYA65574:GYA65581 GOE65574:GOE65581 GEI65574:GEI65581 FUM65574:FUM65581 FKQ65574:FKQ65581 FAU65574:FAU65581 EQY65574:EQY65581 EHC65574:EHC65581 DXG65574:DXG65581 DNK65574:DNK65581 DDO65574:DDO65581 CTS65574:CTS65581 CJW65574:CJW65581 CAA65574:CAA65581 BQE65574:BQE65581 BGI65574:BGI65581 AWM65574:AWM65581 AMQ65574:AMQ65581 ACU65574:ACU65581 SY65574:SY65581 JC65574:JC65581 P65574:P65581 WVO38:WVO45 WLS38:WLS45 WBW38:WBW45 VSA38:VSA45 VIE38:VIE45 UYI38:UYI45 UOM38:UOM45 UEQ38:UEQ45 TUU38:TUU45 TKY38:TKY45 TBC38:TBC45 SRG38:SRG45 SHK38:SHK45 RXO38:RXO45 RNS38:RNS45 RDW38:RDW45 QUA38:QUA45 QKE38:QKE45 QAI38:QAI45 PQM38:PQM45 PGQ38:PGQ45 OWU38:OWU45 OMY38:OMY45 ODC38:ODC45 NTG38:NTG45 NJK38:NJK45 MZO38:MZO45 MPS38:MPS45 MFW38:MFW45 LWA38:LWA45 LME38:LME45 LCI38:LCI45 KSM38:KSM45 KIQ38:KIQ45 JYU38:JYU45 JOY38:JOY45 JFC38:JFC45 IVG38:IVG45 ILK38:ILK45 IBO38:IBO45 HRS38:HRS45 HHW38:HHW45 GYA38:GYA45 GOE38:GOE45 GEI38:GEI45 FUM38:FUM45 FKQ38:FKQ45 FAU38:FAU45 EQY38:EQY45 EHC38:EHC45 DXG38:DXG45 DNK38:DNK45 DDO38:DDO45 CTS38:CTS45 CJW38:CJW45 CAA38:CAA45 BQE38:BQE45 BGI38:BGI45 AWM38:AWM45 AMQ38:AMQ45 ACU38:ACU45 SY38:SY45 JC38:JC45 WVO983078:WVO983085">
      <formula1>$AF$37:$AF$40</formula1>
    </dataValidation>
    <dataValidation type="list" allowBlank="1" showInputMessage="1" showErrorMessage="1" sqref="A42:A45 WLY983062:WLY983073 WCC983062:WCC983073 VSG983062:VSG983073 VIK983062:VIK983073 UYO983062:UYO983073 UOS983062:UOS983073 UEW983062:UEW983073 TVA983062:TVA983073 TLE983062:TLE983073 TBI983062:TBI983073 SRM983062:SRM983073 SHQ983062:SHQ983073 RXU983062:RXU983073 RNY983062:RNY983073 REC983062:REC983073 QUG983062:QUG983073 QKK983062:QKK983073 QAO983062:QAO983073 PQS983062:PQS983073 PGW983062:PGW983073 OXA983062:OXA983073 ONE983062:ONE983073 ODI983062:ODI983073 NTM983062:NTM983073 NJQ983062:NJQ983073 MZU983062:MZU983073 MPY983062:MPY983073 MGC983062:MGC983073 LWG983062:LWG983073 LMK983062:LMK983073 LCO983062:LCO983073 KSS983062:KSS983073 KIW983062:KIW983073 JZA983062:JZA983073 JPE983062:JPE983073 JFI983062:JFI983073 IVM983062:IVM983073 ILQ983062:ILQ983073 IBU983062:IBU983073 HRY983062:HRY983073 HIC983062:HIC983073 GYG983062:GYG983073 GOK983062:GOK983073 GEO983062:GEO983073 FUS983062:FUS983073 FKW983062:FKW983073 FBA983062:FBA983073 ERE983062:ERE983073 EHI983062:EHI983073 DXM983062:DXM983073 DNQ983062:DNQ983073 DDU983062:DDU983073 CTY983062:CTY983073 CKC983062:CKC983073 CAG983062:CAG983073 BQK983062:BQK983073 BGO983062:BGO983073 AWS983062:AWS983073 AMW983062:AMW983073 ADA983062:ADA983073 TE983062:TE983073 JI983062:JI983073 WVU917526:WVU917537 WLY917526:WLY917537 WCC917526:WCC917537 VSG917526:VSG917537 VIK917526:VIK917537 UYO917526:UYO917537 UOS917526:UOS917537 UEW917526:UEW917537 TVA917526:TVA917537 TLE917526:TLE917537 TBI917526:TBI917537 SRM917526:SRM917537 SHQ917526:SHQ917537 RXU917526:RXU917537 RNY917526:RNY917537 REC917526:REC917537 QUG917526:QUG917537 QKK917526:QKK917537 QAO917526:QAO917537 PQS917526:PQS917537 PGW917526:PGW917537 OXA917526:OXA917537 ONE917526:ONE917537 ODI917526:ODI917537 NTM917526:NTM917537 NJQ917526:NJQ917537 MZU917526:MZU917537 MPY917526:MPY917537 MGC917526:MGC917537 LWG917526:LWG917537 LMK917526:LMK917537 LCO917526:LCO917537 KSS917526:KSS917537 KIW917526:KIW917537 JZA917526:JZA917537 JPE917526:JPE917537 JFI917526:JFI917537 IVM917526:IVM917537 ILQ917526:ILQ917537 IBU917526:IBU917537 HRY917526:HRY917537 HIC917526:HIC917537 GYG917526:GYG917537 GOK917526:GOK917537 GEO917526:GEO917537 FUS917526:FUS917537 FKW917526:FKW917537 FBA917526:FBA917537 ERE917526:ERE917537 EHI917526:EHI917537 DXM917526:DXM917537 DNQ917526:DNQ917537 DDU917526:DDU917537 CTY917526:CTY917537 CKC917526:CKC917537 CAG917526:CAG917537 BQK917526:BQK917537 BGO917526:BGO917537 AWS917526:AWS917537 AMW917526:AMW917537 ADA917526:ADA917537 TE917526:TE917537 JI917526:JI917537 WVU851990:WVU852001 WLY851990:WLY852001 WCC851990:WCC852001 VSG851990:VSG852001 VIK851990:VIK852001 UYO851990:UYO852001 UOS851990:UOS852001 UEW851990:UEW852001 TVA851990:TVA852001 TLE851990:TLE852001 TBI851990:TBI852001 SRM851990:SRM852001 SHQ851990:SHQ852001 RXU851990:RXU852001 RNY851990:RNY852001 REC851990:REC852001 QUG851990:QUG852001 QKK851990:QKK852001 QAO851990:QAO852001 PQS851990:PQS852001 PGW851990:PGW852001 OXA851990:OXA852001 ONE851990:ONE852001 ODI851990:ODI852001 NTM851990:NTM852001 NJQ851990:NJQ852001 MZU851990:MZU852001 MPY851990:MPY852001 MGC851990:MGC852001 LWG851990:LWG852001 LMK851990:LMK852001 LCO851990:LCO852001 KSS851990:KSS852001 KIW851990:KIW852001 JZA851990:JZA852001 JPE851990:JPE852001 JFI851990:JFI852001 IVM851990:IVM852001 ILQ851990:ILQ852001 IBU851990:IBU852001 HRY851990:HRY852001 HIC851990:HIC852001 GYG851990:GYG852001 GOK851990:GOK852001 GEO851990:GEO852001 FUS851990:FUS852001 FKW851990:FKW852001 FBA851990:FBA852001 ERE851990:ERE852001 EHI851990:EHI852001 DXM851990:DXM852001 DNQ851990:DNQ852001 DDU851990:DDU852001 CTY851990:CTY852001 CKC851990:CKC852001 CAG851990:CAG852001 BQK851990:BQK852001 BGO851990:BGO852001 AWS851990:AWS852001 AMW851990:AMW852001 ADA851990:ADA852001 TE851990:TE852001 JI851990:JI852001 WVU786454:WVU786465 WLY786454:WLY786465 WCC786454:WCC786465 VSG786454:VSG786465 VIK786454:VIK786465 UYO786454:UYO786465 UOS786454:UOS786465 UEW786454:UEW786465 TVA786454:TVA786465 TLE786454:TLE786465 TBI786454:TBI786465 SRM786454:SRM786465 SHQ786454:SHQ786465 RXU786454:RXU786465 RNY786454:RNY786465 REC786454:REC786465 QUG786454:QUG786465 QKK786454:QKK786465 QAO786454:QAO786465 PQS786454:PQS786465 PGW786454:PGW786465 OXA786454:OXA786465 ONE786454:ONE786465 ODI786454:ODI786465 NTM786454:NTM786465 NJQ786454:NJQ786465 MZU786454:MZU786465 MPY786454:MPY786465 MGC786454:MGC786465 LWG786454:LWG786465 LMK786454:LMK786465 LCO786454:LCO786465 KSS786454:KSS786465 KIW786454:KIW786465 JZA786454:JZA786465 JPE786454:JPE786465 JFI786454:JFI786465 IVM786454:IVM786465 ILQ786454:ILQ786465 IBU786454:IBU786465 HRY786454:HRY786465 HIC786454:HIC786465 GYG786454:GYG786465 GOK786454:GOK786465 GEO786454:GEO786465 FUS786454:FUS786465 FKW786454:FKW786465 FBA786454:FBA786465 ERE786454:ERE786465 EHI786454:EHI786465 DXM786454:DXM786465 DNQ786454:DNQ786465 DDU786454:DDU786465 CTY786454:CTY786465 CKC786454:CKC786465 CAG786454:CAG786465 BQK786454:BQK786465 BGO786454:BGO786465 AWS786454:AWS786465 AMW786454:AMW786465 ADA786454:ADA786465 TE786454:TE786465 JI786454:JI786465 WVU720918:WVU720929 WLY720918:WLY720929 WCC720918:WCC720929 VSG720918:VSG720929 VIK720918:VIK720929 UYO720918:UYO720929 UOS720918:UOS720929 UEW720918:UEW720929 TVA720918:TVA720929 TLE720918:TLE720929 TBI720918:TBI720929 SRM720918:SRM720929 SHQ720918:SHQ720929 RXU720918:RXU720929 RNY720918:RNY720929 REC720918:REC720929 QUG720918:QUG720929 QKK720918:QKK720929 QAO720918:QAO720929 PQS720918:PQS720929 PGW720918:PGW720929 OXA720918:OXA720929 ONE720918:ONE720929 ODI720918:ODI720929 NTM720918:NTM720929 NJQ720918:NJQ720929 MZU720918:MZU720929 MPY720918:MPY720929 MGC720918:MGC720929 LWG720918:LWG720929 LMK720918:LMK720929 LCO720918:LCO720929 KSS720918:KSS720929 KIW720918:KIW720929 JZA720918:JZA720929 JPE720918:JPE720929 JFI720918:JFI720929 IVM720918:IVM720929 ILQ720918:ILQ720929 IBU720918:IBU720929 HRY720918:HRY720929 HIC720918:HIC720929 GYG720918:GYG720929 GOK720918:GOK720929 GEO720918:GEO720929 FUS720918:FUS720929 FKW720918:FKW720929 FBA720918:FBA720929 ERE720918:ERE720929 EHI720918:EHI720929 DXM720918:DXM720929 DNQ720918:DNQ720929 DDU720918:DDU720929 CTY720918:CTY720929 CKC720918:CKC720929 CAG720918:CAG720929 BQK720918:BQK720929 BGO720918:BGO720929 AWS720918:AWS720929 AMW720918:AMW720929 ADA720918:ADA720929 TE720918:TE720929 JI720918:JI720929 WVU655382:WVU655393 WLY655382:WLY655393 WCC655382:WCC655393 VSG655382:VSG655393 VIK655382:VIK655393 UYO655382:UYO655393 UOS655382:UOS655393 UEW655382:UEW655393 TVA655382:TVA655393 TLE655382:TLE655393 TBI655382:TBI655393 SRM655382:SRM655393 SHQ655382:SHQ655393 RXU655382:RXU655393 RNY655382:RNY655393 REC655382:REC655393 QUG655382:QUG655393 QKK655382:QKK655393 QAO655382:QAO655393 PQS655382:PQS655393 PGW655382:PGW655393 OXA655382:OXA655393 ONE655382:ONE655393 ODI655382:ODI655393 NTM655382:NTM655393 NJQ655382:NJQ655393 MZU655382:MZU655393 MPY655382:MPY655393 MGC655382:MGC655393 LWG655382:LWG655393 LMK655382:LMK655393 LCO655382:LCO655393 KSS655382:KSS655393 KIW655382:KIW655393 JZA655382:JZA655393 JPE655382:JPE655393 JFI655382:JFI655393 IVM655382:IVM655393 ILQ655382:ILQ655393 IBU655382:IBU655393 HRY655382:HRY655393 HIC655382:HIC655393 GYG655382:GYG655393 GOK655382:GOK655393 GEO655382:GEO655393 FUS655382:FUS655393 FKW655382:FKW655393 FBA655382:FBA655393 ERE655382:ERE655393 EHI655382:EHI655393 DXM655382:DXM655393 DNQ655382:DNQ655393 DDU655382:DDU655393 CTY655382:CTY655393 CKC655382:CKC655393 CAG655382:CAG655393 BQK655382:BQK655393 BGO655382:BGO655393 AWS655382:AWS655393 AMW655382:AMW655393 ADA655382:ADA655393 TE655382:TE655393 JI655382:JI655393 WVU589846:WVU589857 WLY589846:WLY589857 WCC589846:WCC589857 VSG589846:VSG589857 VIK589846:VIK589857 UYO589846:UYO589857 UOS589846:UOS589857 UEW589846:UEW589857 TVA589846:TVA589857 TLE589846:TLE589857 TBI589846:TBI589857 SRM589846:SRM589857 SHQ589846:SHQ589857 RXU589846:RXU589857 RNY589846:RNY589857 REC589846:REC589857 QUG589846:QUG589857 QKK589846:QKK589857 QAO589846:QAO589857 PQS589846:PQS589857 PGW589846:PGW589857 OXA589846:OXA589857 ONE589846:ONE589857 ODI589846:ODI589857 NTM589846:NTM589857 NJQ589846:NJQ589857 MZU589846:MZU589857 MPY589846:MPY589857 MGC589846:MGC589857 LWG589846:LWG589857 LMK589846:LMK589857 LCO589846:LCO589857 KSS589846:KSS589857 KIW589846:KIW589857 JZA589846:JZA589857 JPE589846:JPE589857 JFI589846:JFI589857 IVM589846:IVM589857 ILQ589846:ILQ589857 IBU589846:IBU589857 HRY589846:HRY589857 HIC589846:HIC589857 GYG589846:GYG589857 GOK589846:GOK589857 GEO589846:GEO589857 FUS589846:FUS589857 FKW589846:FKW589857 FBA589846:FBA589857 ERE589846:ERE589857 EHI589846:EHI589857 DXM589846:DXM589857 DNQ589846:DNQ589857 DDU589846:DDU589857 CTY589846:CTY589857 CKC589846:CKC589857 CAG589846:CAG589857 BQK589846:BQK589857 BGO589846:BGO589857 AWS589846:AWS589857 AMW589846:AMW589857 ADA589846:ADA589857 TE589846:TE589857 JI589846:JI589857 WVU524310:WVU524321 WLY524310:WLY524321 WCC524310:WCC524321 VSG524310:VSG524321 VIK524310:VIK524321 UYO524310:UYO524321 UOS524310:UOS524321 UEW524310:UEW524321 TVA524310:TVA524321 TLE524310:TLE524321 TBI524310:TBI524321 SRM524310:SRM524321 SHQ524310:SHQ524321 RXU524310:RXU524321 RNY524310:RNY524321 REC524310:REC524321 QUG524310:QUG524321 QKK524310:QKK524321 QAO524310:QAO524321 PQS524310:PQS524321 PGW524310:PGW524321 OXA524310:OXA524321 ONE524310:ONE524321 ODI524310:ODI524321 NTM524310:NTM524321 NJQ524310:NJQ524321 MZU524310:MZU524321 MPY524310:MPY524321 MGC524310:MGC524321 LWG524310:LWG524321 LMK524310:LMK524321 LCO524310:LCO524321 KSS524310:KSS524321 KIW524310:KIW524321 JZA524310:JZA524321 JPE524310:JPE524321 JFI524310:JFI524321 IVM524310:IVM524321 ILQ524310:ILQ524321 IBU524310:IBU524321 HRY524310:HRY524321 HIC524310:HIC524321 GYG524310:GYG524321 GOK524310:GOK524321 GEO524310:GEO524321 FUS524310:FUS524321 FKW524310:FKW524321 FBA524310:FBA524321 ERE524310:ERE524321 EHI524310:EHI524321 DXM524310:DXM524321 DNQ524310:DNQ524321 DDU524310:DDU524321 CTY524310:CTY524321 CKC524310:CKC524321 CAG524310:CAG524321 BQK524310:BQK524321 BGO524310:BGO524321 AWS524310:AWS524321 AMW524310:AMW524321 ADA524310:ADA524321 TE524310:TE524321 JI524310:JI524321 WVU458774:WVU458785 WLY458774:WLY458785 WCC458774:WCC458785 VSG458774:VSG458785 VIK458774:VIK458785 UYO458774:UYO458785 UOS458774:UOS458785 UEW458774:UEW458785 TVA458774:TVA458785 TLE458774:TLE458785 TBI458774:TBI458785 SRM458774:SRM458785 SHQ458774:SHQ458785 RXU458774:RXU458785 RNY458774:RNY458785 REC458774:REC458785 QUG458774:QUG458785 QKK458774:QKK458785 QAO458774:QAO458785 PQS458774:PQS458785 PGW458774:PGW458785 OXA458774:OXA458785 ONE458774:ONE458785 ODI458774:ODI458785 NTM458774:NTM458785 NJQ458774:NJQ458785 MZU458774:MZU458785 MPY458774:MPY458785 MGC458774:MGC458785 LWG458774:LWG458785 LMK458774:LMK458785 LCO458774:LCO458785 KSS458774:KSS458785 KIW458774:KIW458785 JZA458774:JZA458785 JPE458774:JPE458785 JFI458774:JFI458785 IVM458774:IVM458785 ILQ458774:ILQ458785 IBU458774:IBU458785 HRY458774:HRY458785 HIC458774:HIC458785 GYG458774:GYG458785 GOK458774:GOK458785 GEO458774:GEO458785 FUS458774:FUS458785 FKW458774:FKW458785 FBA458774:FBA458785 ERE458774:ERE458785 EHI458774:EHI458785 DXM458774:DXM458785 DNQ458774:DNQ458785 DDU458774:DDU458785 CTY458774:CTY458785 CKC458774:CKC458785 CAG458774:CAG458785 BQK458774:BQK458785 BGO458774:BGO458785 AWS458774:AWS458785 AMW458774:AMW458785 ADA458774:ADA458785 TE458774:TE458785 JI458774:JI458785 WVU393238:WVU393249 WLY393238:WLY393249 WCC393238:WCC393249 VSG393238:VSG393249 VIK393238:VIK393249 UYO393238:UYO393249 UOS393238:UOS393249 UEW393238:UEW393249 TVA393238:TVA393249 TLE393238:TLE393249 TBI393238:TBI393249 SRM393238:SRM393249 SHQ393238:SHQ393249 RXU393238:RXU393249 RNY393238:RNY393249 REC393238:REC393249 QUG393238:QUG393249 QKK393238:QKK393249 QAO393238:QAO393249 PQS393238:PQS393249 PGW393238:PGW393249 OXA393238:OXA393249 ONE393238:ONE393249 ODI393238:ODI393249 NTM393238:NTM393249 NJQ393238:NJQ393249 MZU393238:MZU393249 MPY393238:MPY393249 MGC393238:MGC393249 LWG393238:LWG393249 LMK393238:LMK393249 LCO393238:LCO393249 KSS393238:KSS393249 KIW393238:KIW393249 JZA393238:JZA393249 JPE393238:JPE393249 JFI393238:JFI393249 IVM393238:IVM393249 ILQ393238:ILQ393249 IBU393238:IBU393249 HRY393238:HRY393249 HIC393238:HIC393249 GYG393238:GYG393249 GOK393238:GOK393249 GEO393238:GEO393249 FUS393238:FUS393249 FKW393238:FKW393249 FBA393238:FBA393249 ERE393238:ERE393249 EHI393238:EHI393249 DXM393238:DXM393249 DNQ393238:DNQ393249 DDU393238:DDU393249 CTY393238:CTY393249 CKC393238:CKC393249 CAG393238:CAG393249 BQK393238:BQK393249 BGO393238:BGO393249 AWS393238:AWS393249 AMW393238:AMW393249 ADA393238:ADA393249 TE393238:TE393249 JI393238:JI393249 WVU327702:WVU327713 WLY327702:WLY327713 WCC327702:WCC327713 VSG327702:VSG327713 VIK327702:VIK327713 UYO327702:UYO327713 UOS327702:UOS327713 UEW327702:UEW327713 TVA327702:TVA327713 TLE327702:TLE327713 TBI327702:TBI327713 SRM327702:SRM327713 SHQ327702:SHQ327713 RXU327702:RXU327713 RNY327702:RNY327713 REC327702:REC327713 QUG327702:QUG327713 QKK327702:QKK327713 QAO327702:QAO327713 PQS327702:PQS327713 PGW327702:PGW327713 OXA327702:OXA327713 ONE327702:ONE327713 ODI327702:ODI327713 NTM327702:NTM327713 NJQ327702:NJQ327713 MZU327702:MZU327713 MPY327702:MPY327713 MGC327702:MGC327713 LWG327702:LWG327713 LMK327702:LMK327713 LCO327702:LCO327713 KSS327702:KSS327713 KIW327702:KIW327713 JZA327702:JZA327713 JPE327702:JPE327713 JFI327702:JFI327713 IVM327702:IVM327713 ILQ327702:ILQ327713 IBU327702:IBU327713 HRY327702:HRY327713 HIC327702:HIC327713 GYG327702:GYG327713 GOK327702:GOK327713 GEO327702:GEO327713 FUS327702:FUS327713 FKW327702:FKW327713 FBA327702:FBA327713 ERE327702:ERE327713 EHI327702:EHI327713 DXM327702:DXM327713 DNQ327702:DNQ327713 DDU327702:DDU327713 CTY327702:CTY327713 CKC327702:CKC327713 CAG327702:CAG327713 BQK327702:BQK327713 BGO327702:BGO327713 AWS327702:AWS327713 AMW327702:AMW327713 ADA327702:ADA327713 TE327702:TE327713 JI327702:JI327713 WVU262166:WVU262177 WLY262166:WLY262177 WCC262166:WCC262177 VSG262166:VSG262177 VIK262166:VIK262177 UYO262166:UYO262177 UOS262166:UOS262177 UEW262166:UEW262177 TVA262166:TVA262177 TLE262166:TLE262177 TBI262166:TBI262177 SRM262166:SRM262177 SHQ262166:SHQ262177 RXU262166:RXU262177 RNY262166:RNY262177 REC262166:REC262177 QUG262166:QUG262177 QKK262166:QKK262177 QAO262166:QAO262177 PQS262166:PQS262177 PGW262166:PGW262177 OXA262166:OXA262177 ONE262166:ONE262177 ODI262166:ODI262177 NTM262166:NTM262177 NJQ262166:NJQ262177 MZU262166:MZU262177 MPY262166:MPY262177 MGC262166:MGC262177 LWG262166:LWG262177 LMK262166:LMK262177 LCO262166:LCO262177 KSS262166:KSS262177 KIW262166:KIW262177 JZA262166:JZA262177 JPE262166:JPE262177 JFI262166:JFI262177 IVM262166:IVM262177 ILQ262166:ILQ262177 IBU262166:IBU262177 HRY262166:HRY262177 HIC262166:HIC262177 GYG262166:GYG262177 GOK262166:GOK262177 GEO262166:GEO262177 FUS262166:FUS262177 FKW262166:FKW262177 FBA262166:FBA262177 ERE262166:ERE262177 EHI262166:EHI262177 DXM262166:DXM262177 DNQ262166:DNQ262177 DDU262166:DDU262177 CTY262166:CTY262177 CKC262166:CKC262177 CAG262166:CAG262177 BQK262166:BQK262177 BGO262166:BGO262177 AWS262166:AWS262177 AMW262166:AMW262177 ADA262166:ADA262177 TE262166:TE262177 JI262166:JI262177 WVU196630:WVU196641 WLY196630:WLY196641 WCC196630:WCC196641 VSG196630:VSG196641 VIK196630:VIK196641 UYO196630:UYO196641 UOS196630:UOS196641 UEW196630:UEW196641 TVA196630:TVA196641 TLE196630:TLE196641 TBI196630:TBI196641 SRM196630:SRM196641 SHQ196630:SHQ196641 RXU196630:RXU196641 RNY196630:RNY196641 REC196630:REC196641 QUG196630:QUG196641 QKK196630:QKK196641 QAO196630:QAO196641 PQS196630:PQS196641 PGW196630:PGW196641 OXA196630:OXA196641 ONE196630:ONE196641 ODI196630:ODI196641 NTM196630:NTM196641 NJQ196630:NJQ196641 MZU196630:MZU196641 MPY196630:MPY196641 MGC196630:MGC196641 LWG196630:LWG196641 LMK196630:LMK196641 LCO196630:LCO196641 KSS196630:KSS196641 KIW196630:KIW196641 JZA196630:JZA196641 JPE196630:JPE196641 JFI196630:JFI196641 IVM196630:IVM196641 ILQ196630:ILQ196641 IBU196630:IBU196641 HRY196630:HRY196641 HIC196630:HIC196641 GYG196630:GYG196641 GOK196630:GOK196641 GEO196630:GEO196641 FUS196630:FUS196641 FKW196630:FKW196641 FBA196630:FBA196641 ERE196630:ERE196641 EHI196630:EHI196641 DXM196630:DXM196641 DNQ196630:DNQ196641 DDU196630:DDU196641 CTY196630:CTY196641 CKC196630:CKC196641 CAG196630:CAG196641 BQK196630:BQK196641 BGO196630:BGO196641 AWS196630:AWS196641 AMW196630:AMW196641 ADA196630:ADA196641 TE196630:TE196641 JI196630:JI196641 WVU131094:WVU131105 WLY131094:WLY131105 WCC131094:WCC131105 VSG131094:VSG131105 VIK131094:VIK131105 UYO131094:UYO131105 UOS131094:UOS131105 UEW131094:UEW131105 TVA131094:TVA131105 TLE131094:TLE131105 TBI131094:TBI131105 SRM131094:SRM131105 SHQ131094:SHQ131105 RXU131094:RXU131105 RNY131094:RNY131105 REC131094:REC131105 QUG131094:QUG131105 QKK131094:QKK131105 QAO131094:QAO131105 PQS131094:PQS131105 PGW131094:PGW131105 OXA131094:OXA131105 ONE131094:ONE131105 ODI131094:ODI131105 NTM131094:NTM131105 NJQ131094:NJQ131105 MZU131094:MZU131105 MPY131094:MPY131105 MGC131094:MGC131105 LWG131094:LWG131105 LMK131094:LMK131105 LCO131094:LCO131105 KSS131094:KSS131105 KIW131094:KIW131105 JZA131094:JZA131105 JPE131094:JPE131105 JFI131094:JFI131105 IVM131094:IVM131105 ILQ131094:ILQ131105 IBU131094:IBU131105 HRY131094:HRY131105 HIC131094:HIC131105 GYG131094:GYG131105 GOK131094:GOK131105 GEO131094:GEO131105 FUS131094:FUS131105 FKW131094:FKW131105 FBA131094:FBA131105 ERE131094:ERE131105 EHI131094:EHI131105 DXM131094:DXM131105 DNQ131094:DNQ131105 DDU131094:DDU131105 CTY131094:CTY131105 CKC131094:CKC131105 CAG131094:CAG131105 BQK131094:BQK131105 BGO131094:BGO131105 AWS131094:AWS131105 AMW131094:AMW131105 ADA131094:ADA131105 TE131094:TE131105 JI131094:JI131105 WVU65558:WVU65569 WLY65558:WLY65569 WCC65558:WCC65569 VSG65558:VSG65569 VIK65558:VIK65569 UYO65558:UYO65569 UOS65558:UOS65569 UEW65558:UEW65569 TVA65558:TVA65569 TLE65558:TLE65569 TBI65558:TBI65569 SRM65558:SRM65569 SHQ65558:SHQ65569 RXU65558:RXU65569 RNY65558:RNY65569 REC65558:REC65569 QUG65558:QUG65569 QKK65558:QKK65569 QAO65558:QAO65569 PQS65558:PQS65569 PGW65558:PGW65569 OXA65558:OXA65569 ONE65558:ONE65569 ODI65558:ODI65569 NTM65558:NTM65569 NJQ65558:NJQ65569 MZU65558:MZU65569 MPY65558:MPY65569 MGC65558:MGC65569 LWG65558:LWG65569 LMK65558:LMK65569 LCO65558:LCO65569 KSS65558:KSS65569 KIW65558:KIW65569 JZA65558:JZA65569 JPE65558:JPE65569 JFI65558:JFI65569 IVM65558:IVM65569 ILQ65558:ILQ65569 IBU65558:IBU65569 HRY65558:HRY65569 HIC65558:HIC65569 GYG65558:GYG65569 GOK65558:GOK65569 GEO65558:GEO65569 FUS65558:FUS65569 FKW65558:FKW65569 FBA65558:FBA65569 ERE65558:ERE65569 EHI65558:EHI65569 DXM65558:DXM65569 DNQ65558:DNQ65569 DDU65558:DDU65569 CTY65558:CTY65569 CKC65558:CKC65569 CAG65558:CAG65569 BQK65558:BQK65569 BGO65558:BGO65569 AWS65558:AWS65569 AMW65558:AMW65569 ADA65558:ADA65569 TE65558:TE65569 JI65558:JI65569 WVU22:WVU33 WLY22:WLY33 WCC22:WCC33 VSG22:VSG33 VIK22:VIK33 UYO22:UYO33 UOS22:UOS33 UEW22:UEW33 TVA22:TVA33 TLE22:TLE33 TBI22:TBI33 SRM22:SRM33 SHQ22:SHQ33 RXU22:RXU33 RNY22:RNY33 REC22:REC33 QUG22:QUG33 QKK22:QKK33 QAO22:QAO33 PQS22:PQS33 PGW22:PGW33 OXA22:OXA33 ONE22:ONE33 ODI22:ODI33 NTM22:NTM33 NJQ22:NJQ33 MZU22:MZU33 MPY22:MPY33 MGC22:MGC33 LWG22:LWG33 LMK22:LMK33 LCO22:LCO33 KSS22:KSS33 KIW22:KIW33 JZA22:JZA33 JPE22:JPE33 JFI22:JFI33 IVM22:IVM33 ILQ22:ILQ33 IBU22:IBU33 HRY22:HRY33 HIC22:HIC33 GYG22:GYG33 GOK22:GOK33 GEO22:GEO33 FUS22:FUS33 FKW22:FKW33 FBA22:FBA33 ERE22:ERE33 EHI22:EHI33 DXM22:DXM33 DNQ22:DNQ33 DDU22:DDU33 CTY22:CTY33 CKC22:CKC33 CAG22:CAG33 BQK22:BQK33 BGO22:BGO33 AWS22:AWS33 AMW22:AMW33 ADA22:ADA33 TE22:TE33 JI22:JI33 WUZ983079:WUZ983085 WLD983079:WLD983085 WBH983079:WBH983085 VRL983079:VRL983085 VHP983079:VHP983085 UXT983079:UXT983085 UNX983079:UNX983085 UEB983079:UEB983085 TUF983079:TUF983085 TKJ983079:TKJ983085 TAN983079:TAN983085 SQR983079:SQR983085 SGV983079:SGV983085 RWZ983079:RWZ983085 RND983079:RND983085 RDH983079:RDH983085 QTL983079:QTL983085 QJP983079:QJP983085 PZT983079:PZT983085 PPX983079:PPX983085 PGB983079:PGB983085 OWF983079:OWF983085 OMJ983079:OMJ983085 OCN983079:OCN983085 NSR983079:NSR983085 NIV983079:NIV983085 MYZ983079:MYZ983085 MPD983079:MPD983085 MFH983079:MFH983085 LVL983079:LVL983085 LLP983079:LLP983085 LBT983079:LBT983085 KRX983079:KRX983085 KIB983079:KIB983085 JYF983079:JYF983085 JOJ983079:JOJ983085 JEN983079:JEN983085 IUR983079:IUR983085 IKV983079:IKV983085 IAZ983079:IAZ983085 HRD983079:HRD983085 HHH983079:HHH983085 GXL983079:GXL983085 GNP983079:GNP983085 GDT983079:GDT983085 FTX983079:FTX983085 FKB983079:FKB983085 FAF983079:FAF983085 EQJ983079:EQJ983085 EGN983079:EGN983085 DWR983079:DWR983085 DMV983079:DMV983085 DCZ983079:DCZ983085 CTD983079:CTD983085 CJH983079:CJH983085 BZL983079:BZL983085 BPP983079:BPP983085 BFT983079:BFT983085 AVX983079:AVX983085 AMB983079:AMB983085 ACF983079:ACF983085 SJ983079:SJ983085 IN983079:IN983085 A983079:A983085 WUZ917543:WUZ917549 WLD917543:WLD917549 WBH917543:WBH917549 VRL917543:VRL917549 VHP917543:VHP917549 UXT917543:UXT917549 UNX917543:UNX917549 UEB917543:UEB917549 TUF917543:TUF917549 TKJ917543:TKJ917549 TAN917543:TAN917549 SQR917543:SQR917549 SGV917543:SGV917549 RWZ917543:RWZ917549 RND917543:RND917549 RDH917543:RDH917549 QTL917543:QTL917549 QJP917543:QJP917549 PZT917543:PZT917549 PPX917543:PPX917549 PGB917543:PGB917549 OWF917543:OWF917549 OMJ917543:OMJ917549 OCN917543:OCN917549 NSR917543:NSR917549 NIV917543:NIV917549 MYZ917543:MYZ917549 MPD917543:MPD917549 MFH917543:MFH917549 LVL917543:LVL917549 LLP917543:LLP917549 LBT917543:LBT917549 KRX917543:KRX917549 KIB917543:KIB917549 JYF917543:JYF917549 JOJ917543:JOJ917549 JEN917543:JEN917549 IUR917543:IUR917549 IKV917543:IKV917549 IAZ917543:IAZ917549 HRD917543:HRD917549 HHH917543:HHH917549 GXL917543:GXL917549 GNP917543:GNP917549 GDT917543:GDT917549 FTX917543:FTX917549 FKB917543:FKB917549 FAF917543:FAF917549 EQJ917543:EQJ917549 EGN917543:EGN917549 DWR917543:DWR917549 DMV917543:DMV917549 DCZ917543:DCZ917549 CTD917543:CTD917549 CJH917543:CJH917549 BZL917543:BZL917549 BPP917543:BPP917549 BFT917543:BFT917549 AVX917543:AVX917549 AMB917543:AMB917549 ACF917543:ACF917549 SJ917543:SJ917549 IN917543:IN917549 A917543:A917549 WUZ852007:WUZ852013 WLD852007:WLD852013 WBH852007:WBH852013 VRL852007:VRL852013 VHP852007:VHP852013 UXT852007:UXT852013 UNX852007:UNX852013 UEB852007:UEB852013 TUF852007:TUF852013 TKJ852007:TKJ852013 TAN852007:TAN852013 SQR852007:SQR852013 SGV852007:SGV852013 RWZ852007:RWZ852013 RND852007:RND852013 RDH852007:RDH852013 QTL852007:QTL852013 QJP852007:QJP852013 PZT852007:PZT852013 PPX852007:PPX852013 PGB852007:PGB852013 OWF852007:OWF852013 OMJ852007:OMJ852013 OCN852007:OCN852013 NSR852007:NSR852013 NIV852007:NIV852013 MYZ852007:MYZ852013 MPD852007:MPD852013 MFH852007:MFH852013 LVL852007:LVL852013 LLP852007:LLP852013 LBT852007:LBT852013 KRX852007:KRX852013 KIB852007:KIB852013 JYF852007:JYF852013 JOJ852007:JOJ852013 JEN852007:JEN852013 IUR852007:IUR852013 IKV852007:IKV852013 IAZ852007:IAZ852013 HRD852007:HRD852013 HHH852007:HHH852013 GXL852007:GXL852013 GNP852007:GNP852013 GDT852007:GDT852013 FTX852007:FTX852013 FKB852007:FKB852013 FAF852007:FAF852013 EQJ852007:EQJ852013 EGN852007:EGN852013 DWR852007:DWR852013 DMV852007:DMV852013 DCZ852007:DCZ852013 CTD852007:CTD852013 CJH852007:CJH852013 BZL852007:BZL852013 BPP852007:BPP852013 BFT852007:BFT852013 AVX852007:AVX852013 AMB852007:AMB852013 ACF852007:ACF852013 SJ852007:SJ852013 IN852007:IN852013 A852007:A852013 WUZ786471:WUZ786477 WLD786471:WLD786477 WBH786471:WBH786477 VRL786471:VRL786477 VHP786471:VHP786477 UXT786471:UXT786477 UNX786471:UNX786477 UEB786471:UEB786477 TUF786471:TUF786477 TKJ786471:TKJ786477 TAN786471:TAN786477 SQR786471:SQR786477 SGV786471:SGV786477 RWZ786471:RWZ786477 RND786471:RND786477 RDH786471:RDH786477 QTL786471:QTL786477 QJP786471:QJP786477 PZT786471:PZT786477 PPX786471:PPX786477 PGB786471:PGB786477 OWF786471:OWF786477 OMJ786471:OMJ786477 OCN786471:OCN786477 NSR786471:NSR786477 NIV786471:NIV786477 MYZ786471:MYZ786477 MPD786471:MPD786477 MFH786471:MFH786477 LVL786471:LVL786477 LLP786471:LLP786477 LBT786471:LBT786477 KRX786471:KRX786477 KIB786471:KIB786477 JYF786471:JYF786477 JOJ786471:JOJ786477 JEN786471:JEN786477 IUR786471:IUR786477 IKV786471:IKV786477 IAZ786471:IAZ786477 HRD786471:HRD786477 HHH786471:HHH786477 GXL786471:GXL786477 GNP786471:GNP786477 GDT786471:GDT786477 FTX786471:FTX786477 FKB786471:FKB786477 FAF786471:FAF786477 EQJ786471:EQJ786477 EGN786471:EGN786477 DWR786471:DWR786477 DMV786471:DMV786477 DCZ786471:DCZ786477 CTD786471:CTD786477 CJH786471:CJH786477 BZL786471:BZL786477 BPP786471:BPP786477 BFT786471:BFT786477 AVX786471:AVX786477 AMB786471:AMB786477 ACF786471:ACF786477 SJ786471:SJ786477 IN786471:IN786477 A786471:A786477 WUZ720935:WUZ720941 WLD720935:WLD720941 WBH720935:WBH720941 VRL720935:VRL720941 VHP720935:VHP720941 UXT720935:UXT720941 UNX720935:UNX720941 UEB720935:UEB720941 TUF720935:TUF720941 TKJ720935:TKJ720941 TAN720935:TAN720941 SQR720935:SQR720941 SGV720935:SGV720941 RWZ720935:RWZ720941 RND720935:RND720941 RDH720935:RDH720941 QTL720935:QTL720941 QJP720935:QJP720941 PZT720935:PZT720941 PPX720935:PPX720941 PGB720935:PGB720941 OWF720935:OWF720941 OMJ720935:OMJ720941 OCN720935:OCN720941 NSR720935:NSR720941 NIV720935:NIV720941 MYZ720935:MYZ720941 MPD720935:MPD720941 MFH720935:MFH720941 LVL720935:LVL720941 LLP720935:LLP720941 LBT720935:LBT720941 KRX720935:KRX720941 KIB720935:KIB720941 JYF720935:JYF720941 JOJ720935:JOJ720941 JEN720935:JEN720941 IUR720935:IUR720941 IKV720935:IKV720941 IAZ720935:IAZ720941 HRD720935:HRD720941 HHH720935:HHH720941 GXL720935:GXL720941 GNP720935:GNP720941 GDT720935:GDT720941 FTX720935:FTX720941 FKB720935:FKB720941 FAF720935:FAF720941 EQJ720935:EQJ720941 EGN720935:EGN720941 DWR720935:DWR720941 DMV720935:DMV720941 DCZ720935:DCZ720941 CTD720935:CTD720941 CJH720935:CJH720941 BZL720935:BZL720941 BPP720935:BPP720941 BFT720935:BFT720941 AVX720935:AVX720941 AMB720935:AMB720941 ACF720935:ACF720941 SJ720935:SJ720941 IN720935:IN720941 A720935:A720941 WUZ655399:WUZ655405 WLD655399:WLD655405 WBH655399:WBH655405 VRL655399:VRL655405 VHP655399:VHP655405 UXT655399:UXT655405 UNX655399:UNX655405 UEB655399:UEB655405 TUF655399:TUF655405 TKJ655399:TKJ655405 TAN655399:TAN655405 SQR655399:SQR655405 SGV655399:SGV655405 RWZ655399:RWZ655405 RND655399:RND655405 RDH655399:RDH655405 QTL655399:QTL655405 QJP655399:QJP655405 PZT655399:PZT655405 PPX655399:PPX655405 PGB655399:PGB655405 OWF655399:OWF655405 OMJ655399:OMJ655405 OCN655399:OCN655405 NSR655399:NSR655405 NIV655399:NIV655405 MYZ655399:MYZ655405 MPD655399:MPD655405 MFH655399:MFH655405 LVL655399:LVL655405 LLP655399:LLP655405 LBT655399:LBT655405 KRX655399:KRX655405 KIB655399:KIB655405 JYF655399:JYF655405 JOJ655399:JOJ655405 JEN655399:JEN655405 IUR655399:IUR655405 IKV655399:IKV655405 IAZ655399:IAZ655405 HRD655399:HRD655405 HHH655399:HHH655405 GXL655399:GXL655405 GNP655399:GNP655405 GDT655399:GDT655405 FTX655399:FTX655405 FKB655399:FKB655405 FAF655399:FAF655405 EQJ655399:EQJ655405 EGN655399:EGN655405 DWR655399:DWR655405 DMV655399:DMV655405 DCZ655399:DCZ655405 CTD655399:CTD655405 CJH655399:CJH655405 BZL655399:BZL655405 BPP655399:BPP655405 BFT655399:BFT655405 AVX655399:AVX655405 AMB655399:AMB655405 ACF655399:ACF655405 SJ655399:SJ655405 IN655399:IN655405 A655399:A655405 WUZ589863:WUZ589869 WLD589863:WLD589869 WBH589863:WBH589869 VRL589863:VRL589869 VHP589863:VHP589869 UXT589863:UXT589869 UNX589863:UNX589869 UEB589863:UEB589869 TUF589863:TUF589869 TKJ589863:TKJ589869 TAN589863:TAN589869 SQR589863:SQR589869 SGV589863:SGV589869 RWZ589863:RWZ589869 RND589863:RND589869 RDH589863:RDH589869 QTL589863:QTL589869 QJP589863:QJP589869 PZT589863:PZT589869 PPX589863:PPX589869 PGB589863:PGB589869 OWF589863:OWF589869 OMJ589863:OMJ589869 OCN589863:OCN589869 NSR589863:NSR589869 NIV589863:NIV589869 MYZ589863:MYZ589869 MPD589863:MPD589869 MFH589863:MFH589869 LVL589863:LVL589869 LLP589863:LLP589869 LBT589863:LBT589869 KRX589863:KRX589869 KIB589863:KIB589869 JYF589863:JYF589869 JOJ589863:JOJ589869 JEN589863:JEN589869 IUR589863:IUR589869 IKV589863:IKV589869 IAZ589863:IAZ589869 HRD589863:HRD589869 HHH589863:HHH589869 GXL589863:GXL589869 GNP589863:GNP589869 GDT589863:GDT589869 FTX589863:FTX589869 FKB589863:FKB589869 FAF589863:FAF589869 EQJ589863:EQJ589869 EGN589863:EGN589869 DWR589863:DWR589869 DMV589863:DMV589869 DCZ589863:DCZ589869 CTD589863:CTD589869 CJH589863:CJH589869 BZL589863:BZL589869 BPP589863:BPP589869 BFT589863:BFT589869 AVX589863:AVX589869 AMB589863:AMB589869 ACF589863:ACF589869 SJ589863:SJ589869 IN589863:IN589869 A589863:A589869 WUZ524327:WUZ524333 WLD524327:WLD524333 WBH524327:WBH524333 VRL524327:VRL524333 VHP524327:VHP524333 UXT524327:UXT524333 UNX524327:UNX524333 UEB524327:UEB524333 TUF524327:TUF524333 TKJ524327:TKJ524333 TAN524327:TAN524333 SQR524327:SQR524333 SGV524327:SGV524333 RWZ524327:RWZ524333 RND524327:RND524333 RDH524327:RDH524333 QTL524327:QTL524333 QJP524327:QJP524333 PZT524327:PZT524333 PPX524327:PPX524333 PGB524327:PGB524333 OWF524327:OWF524333 OMJ524327:OMJ524333 OCN524327:OCN524333 NSR524327:NSR524333 NIV524327:NIV524333 MYZ524327:MYZ524333 MPD524327:MPD524333 MFH524327:MFH524333 LVL524327:LVL524333 LLP524327:LLP524333 LBT524327:LBT524333 KRX524327:KRX524333 KIB524327:KIB524333 JYF524327:JYF524333 JOJ524327:JOJ524333 JEN524327:JEN524333 IUR524327:IUR524333 IKV524327:IKV524333 IAZ524327:IAZ524333 HRD524327:HRD524333 HHH524327:HHH524333 GXL524327:GXL524333 GNP524327:GNP524333 GDT524327:GDT524333 FTX524327:FTX524333 FKB524327:FKB524333 FAF524327:FAF524333 EQJ524327:EQJ524333 EGN524327:EGN524333 DWR524327:DWR524333 DMV524327:DMV524333 DCZ524327:DCZ524333 CTD524327:CTD524333 CJH524327:CJH524333 BZL524327:BZL524333 BPP524327:BPP524333 BFT524327:BFT524333 AVX524327:AVX524333 AMB524327:AMB524333 ACF524327:ACF524333 SJ524327:SJ524333 IN524327:IN524333 A524327:A524333 WUZ458791:WUZ458797 WLD458791:WLD458797 WBH458791:WBH458797 VRL458791:VRL458797 VHP458791:VHP458797 UXT458791:UXT458797 UNX458791:UNX458797 UEB458791:UEB458797 TUF458791:TUF458797 TKJ458791:TKJ458797 TAN458791:TAN458797 SQR458791:SQR458797 SGV458791:SGV458797 RWZ458791:RWZ458797 RND458791:RND458797 RDH458791:RDH458797 QTL458791:QTL458797 QJP458791:QJP458797 PZT458791:PZT458797 PPX458791:PPX458797 PGB458791:PGB458797 OWF458791:OWF458797 OMJ458791:OMJ458797 OCN458791:OCN458797 NSR458791:NSR458797 NIV458791:NIV458797 MYZ458791:MYZ458797 MPD458791:MPD458797 MFH458791:MFH458797 LVL458791:LVL458797 LLP458791:LLP458797 LBT458791:LBT458797 KRX458791:KRX458797 KIB458791:KIB458797 JYF458791:JYF458797 JOJ458791:JOJ458797 JEN458791:JEN458797 IUR458791:IUR458797 IKV458791:IKV458797 IAZ458791:IAZ458797 HRD458791:HRD458797 HHH458791:HHH458797 GXL458791:GXL458797 GNP458791:GNP458797 GDT458791:GDT458797 FTX458791:FTX458797 FKB458791:FKB458797 FAF458791:FAF458797 EQJ458791:EQJ458797 EGN458791:EGN458797 DWR458791:DWR458797 DMV458791:DMV458797 DCZ458791:DCZ458797 CTD458791:CTD458797 CJH458791:CJH458797 BZL458791:BZL458797 BPP458791:BPP458797 BFT458791:BFT458797 AVX458791:AVX458797 AMB458791:AMB458797 ACF458791:ACF458797 SJ458791:SJ458797 IN458791:IN458797 A458791:A458797 WUZ393255:WUZ393261 WLD393255:WLD393261 WBH393255:WBH393261 VRL393255:VRL393261 VHP393255:VHP393261 UXT393255:UXT393261 UNX393255:UNX393261 UEB393255:UEB393261 TUF393255:TUF393261 TKJ393255:TKJ393261 TAN393255:TAN393261 SQR393255:SQR393261 SGV393255:SGV393261 RWZ393255:RWZ393261 RND393255:RND393261 RDH393255:RDH393261 QTL393255:QTL393261 QJP393255:QJP393261 PZT393255:PZT393261 PPX393255:PPX393261 PGB393255:PGB393261 OWF393255:OWF393261 OMJ393255:OMJ393261 OCN393255:OCN393261 NSR393255:NSR393261 NIV393255:NIV393261 MYZ393255:MYZ393261 MPD393255:MPD393261 MFH393255:MFH393261 LVL393255:LVL393261 LLP393255:LLP393261 LBT393255:LBT393261 KRX393255:KRX393261 KIB393255:KIB393261 JYF393255:JYF393261 JOJ393255:JOJ393261 JEN393255:JEN393261 IUR393255:IUR393261 IKV393255:IKV393261 IAZ393255:IAZ393261 HRD393255:HRD393261 HHH393255:HHH393261 GXL393255:GXL393261 GNP393255:GNP393261 GDT393255:GDT393261 FTX393255:FTX393261 FKB393255:FKB393261 FAF393255:FAF393261 EQJ393255:EQJ393261 EGN393255:EGN393261 DWR393255:DWR393261 DMV393255:DMV393261 DCZ393255:DCZ393261 CTD393255:CTD393261 CJH393255:CJH393261 BZL393255:BZL393261 BPP393255:BPP393261 BFT393255:BFT393261 AVX393255:AVX393261 AMB393255:AMB393261 ACF393255:ACF393261 SJ393255:SJ393261 IN393255:IN393261 A393255:A393261 WUZ327719:WUZ327725 WLD327719:WLD327725 WBH327719:WBH327725 VRL327719:VRL327725 VHP327719:VHP327725 UXT327719:UXT327725 UNX327719:UNX327725 UEB327719:UEB327725 TUF327719:TUF327725 TKJ327719:TKJ327725 TAN327719:TAN327725 SQR327719:SQR327725 SGV327719:SGV327725 RWZ327719:RWZ327725 RND327719:RND327725 RDH327719:RDH327725 QTL327719:QTL327725 QJP327719:QJP327725 PZT327719:PZT327725 PPX327719:PPX327725 PGB327719:PGB327725 OWF327719:OWF327725 OMJ327719:OMJ327725 OCN327719:OCN327725 NSR327719:NSR327725 NIV327719:NIV327725 MYZ327719:MYZ327725 MPD327719:MPD327725 MFH327719:MFH327725 LVL327719:LVL327725 LLP327719:LLP327725 LBT327719:LBT327725 KRX327719:KRX327725 KIB327719:KIB327725 JYF327719:JYF327725 JOJ327719:JOJ327725 JEN327719:JEN327725 IUR327719:IUR327725 IKV327719:IKV327725 IAZ327719:IAZ327725 HRD327719:HRD327725 HHH327719:HHH327725 GXL327719:GXL327725 GNP327719:GNP327725 GDT327719:GDT327725 FTX327719:FTX327725 FKB327719:FKB327725 FAF327719:FAF327725 EQJ327719:EQJ327725 EGN327719:EGN327725 DWR327719:DWR327725 DMV327719:DMV327725 DCZ327719:DCZ327725 CTD327719:CTD327725 CJH327719:CJH327725 BZL327719:BZL327725 BPP327719:BPP327725 BFT327719:BFT327725 AVX327719:AVX327725 AMB327719:AMB327725 ACF327719:ACF327725 SJ327719:SJ327725 IN327719:IN327725 A327719:A327725 WUZ262183:WUZ262189 WLD262183:WLD262189 WBH262183:WBH262189 VRL262183:VRL262189 VHP262183:VHP262189 UXT262183:UXT262189 UNX262183:UNX262189 UEB262183:UEB262189 TUF262183:TUF262189 TKJ262183:TKJ262189 TAN262183:TAN262189 SQR262183:SQR262189 SGV262183:SGV262189 RWZ262183:RWZ262189 RND262183:RND262189 RDH262183:RDH262189 QTL262183:QTL262189 QJP262183:QJP262189 PZT262183:PZT262189 PPX262183:PPX262189 PGB262183:PGB262189 OWF262183:OWF262189 OMJ262183:OMJ262189 OCN262183:OCN262189 NSR262183:NSR262189 NIV262183:NIV262189 MYZ262183:MYZ262189 MPD262183:MPD262189 MFH262183:MFH262189 LVL262183:LVL262189 LLP262183:LLP262189 LBT262183:LBT262189 KRX262183:KRX262189 KIB262183:KIB262189 JYF262183:JYF262189 JOJ262183:JOJ262189 JEN262183:JEN262189 IUR262183:IUR262189 IKV262183:IKV262189 IAZ262183:IAZ262189 HRD262183:HRD262189 HHH262183:HHH262189 GXL262183:GXL262189 GNP262183:GNP262189 GDT262183:GDT262189 FTX262183:FTX262189 FKB262183:FKB262189 FAF262183:FAF262189 EQJ262183:EQJ262189 EGN262183:EGN262189 DWR262183:DWR262189 DMV262183:DMV262189 DCZ262183:DCZ262189 CTD262183:CTD262189 CJH262183:CJH262189 BZL262183:BZL262189 BPP262183:BPP262189 BFT262183:BFT262189 AVX262183:AVX262189 AMB262183:AMB262189 ACF262183:ACF262189 SJ262183:SJ262189 IN262183:IN262189 A262183:A262189 WUZ196647:WUZ196653 WLD196647:WLD196653 WBH196647:WBH196653 VRL196647:VRL196653 VHP196647:VHP196653 UXT196647:UXT196653 UNX196647:UNX196653 UEB196647:UEB196653 TUF196647:TUF196653 TKJ196647:TKJ196653 TAN196647:TAN196653 SQR196647:SQR196653 SGV196647:SGV196653 RWZ196647:RWZ196653 RND196647:RND196653 RDH196647:RDH196653 QTL196647:QTL196653 QJP196647:QJP196653 PZT196647:PZT196653 PPX196647:PPX196653 PGB196647:PGB196653 OWF196647:OWF196653 OMJ196647:OMJ196653 OCN196647:OCN196653 NSR196647:NSR196653 NIV196647:NIV196653 MYZ196647:MYZ196653 MPD196647:MPD196653 MFH196647:MFH196653 LVL196647:LVL196653 LLP196647:LLP196653 LBT196647:LBT196653 KRX196647:KRX196653 KIB196647:KIB196653 JYF196647:JYF196653 JOJ196647:JOJ196653 JEN196647:JEN196653 IUR196647:IUR196653 IKV196647:IKV196653 IAZ196647:IAZ196653 HRD196647:HRD196653 HHH196647:HHH196653 GXL196647:GXL196653 GNP196647:GNP196653 GDT196647:GDT196653 FTX196647:FTX196653 FKB196647:FKB196653 FAF196647:FAF196653 EQJ196647:EQJ196653 EGN196647:EGN196653 DWR196647:DWR196653 DMV196647:DMV196653 DCZ196647:DCZ196653 CTD196647:CTD196653 CJH196647:CJH196653 BZL196647:BZL196653 BPP196647:BPP196653 BFT196647:BFT196653 AVX196647:AVX196653 AMB196647:AMB196653 ACF196647:ACF196653 SJ196647:SJ196653 IN196647:IN196653 A196647:A196653 WUZ131111:WUZ131117 WLD131111:WLD131117 WBH131111:WBH131117 VRL131111:VRL131117 VHP131111:VHP131117 UXT131111:UXT131117 UNX131111:UNX131117 UEB131111:UEB131117 TUF131111:TUF131117 TKJ131111:TKJ131117 TAN131111:TAN131117 SQR131111:SQR131117 SGV131111:SGV131117 RWZ131111:RWZ131117 RND131111:RND131117 RDH131111:RDH131117 QTL131111:QTL131117 QJP131111:QJP131117 PZT131111:PZT131117 PPX131111:PPX131117 PGB131111:PGB131117 OWF131111:OWF131117 OMJ131111:OMJ131117 OCN131111:OCN131117 NSR131111:NSR131117 NIV131111:NIV131117 MYZ131111:MYZ131117 MPD131111:MPD131117 MFH131111:MFH131117 LVL131111:LVL131117 LLP131111:LLP131117 LBT131111:LBT131117 KRX131111:KRX131117 KIB131111:KIB131117 JYF131111:JYF131117 JOJ131111:JOJ131117 JEN131111:JEN131117 IUR131111:IUR131117 IKV131111:IKV131117 IAZ131111:IAZ131117 HRD131111:HRD131117 HHH131111:HHH131117 GXL131111:GXL131117 GNP131111:GNP131117 GDT131111:GDT131117 FTX131111:FTX131117 FKB131111:FKB131117 FAF131111:FAF131117 EQJ131111:EQJ131117 EGN131111:EGN131117 DWR131111:DWR131117 DMV131111:DMV131117 DCZ131111:DCZ131117 CTD131111:CTD131117 CJH131111:CJH131117 BZL131111:BZL131117 BPP131111:BPP131117 BFT131111:BFT131117 AVX131111:AVX131117 AMB131111:AMB131117 ACF131111:ACF131117 SJ131111:SJ131117 IN131111:IN131117 A131111:A131117 WUZ65575:WUZ65581 WLD65575:WLD65581 WBH65575:WBH65581 VRL65575:VRL65581 VHP65575:VHP65581 UXT65575:UXT65581 UNX65575:UNX65581 UEB65575:UEB65581 TUF65575:TUF65581 TKJ65575:TKJ65581 TAN65575:TAN65581 SQR65575:SQR65581 SGV65575:SGV65581 RWZ65575:RWZ65581 RND65575:RND65581 RDH65575:RDH65581 QTL65575:QTL65581 QJP65575:QJP65581 PZT65575:PZT65581 PPX65575:PPX65581 PGB65575:PGB65581 OWF65575:OWF65581 OMJ65575:OMJ65581 OCN65575:OCN65581 NSR65575:NSR65581 NIV65575:NIV65581 MYZ65575:MYZ65581 MPD65575:MPD65581 MFH65575:MFH65581 LVL65575:LVL65581 LLP65575:LLP65581 LBT65575:LBT65581 KRX65575:KRX65581 KIB65575:KIB65581 JYF65575:JYF65581 JOJ65575:JOJ65581 JEN65575:JEN65581 IUR65575:IUR65581 IKV65575:IKV65581 IAZ65575:IAZ65581 HRD65575:HRD65581 HHH65575:HHH65581 GXL65575:GXL65581 GNP65575:GNP65581 GDT65575:GDT65581 FTX65575:FTX65581 FKB65575:FKB65581 FAF65575:FAF65581 EQJ65575:EQJ65581 EGN65575:EGN65581 DWR65575:DWR65581 DMV65575:DMV65581 DCZ65575:DCZ65581 CTD65575:CTD65581 CJH65575:CJH65581 BZL65575:BZL65581 BPP65575:BPP65581 BFT65575:BFT65581 AVX65575:AVX65581 AMB65575:AMB65581 ACF65575:ACF65581 SJ65575:SJ65581 IN65575:IN65581 A65575:A65581 WUZ39:WUZ45 WLD39:WLD45 WBH39:WBH45 VRL39:VRL45 VHP39:VHP45 UXT39:UXT45 UNX39:UNX45 UEB39:UEB45 TUF39:TUF45 TKJ39:TKJ45 TAN39:TAN45 SQR39:SQR45 SGV39:SGV45 RWZ39:RWZ45 RND39:RND45 RDH39:RDH45 QTL39:QTL45 QJP39:QJP45 PZT39:PZT45 PPX39:PPX45 PGB39:PGB45 OWF39:OWF45 OMJ39:OMJ45 OCN39:OCN45 NSR39:NSR45 NIV39:NIV45 MYZ39:MYZ45 MPD39:MPD45 MFH39:MFH45 LVL39:LVL45 LLP39:LLP45 LBT39:LBT45 KRX39:KRX45 KIB39:KIB45 JYF39:JYF45 JOJ39:JOJ45 JEN39:JEN45 IUR39:IUR45 IKV39:IKV45 IAZ39:IAZ45 HRD39:HRD45 HHH39:HHH45 GXL39:GXL45 GNP39:GNP45 GDT39:GDT45 FTX39:FTX45 FKB39:FKB45 FAF39:FAF45 EQJ39:EQJ45 EGN39:EGN45 DWR39:DWR45 DMV39:DMV45 DCZ39:DCZ45 CTD39:CTD45 CJH39:CJH45 BZL39:BZL45 BPP39:BPP45 BFT39:BFT45 AVX39:AVX45 AMB39:AMB45 ACF39:ACF45 SJ39:SJ45 IN39:IN45 WVU983062:WVU983073">
      <formula1>$U$9:$U$12</formula1>
    </dataValidation>
    <dataValidation type="list" allowBlank="1" showInputMessage="1" showErrorMessage="1" sqref="JD18 C21 SL21 ACH21 AMD21 AVZ21 BFV21 BPR21 BZN21 CJJ21 CTF21 DDB21 DMX21 DWT21 EGP21 EQL21 FAH21 FKD21 FTZ21 GDV21 GNR21 GXN21 HHJ21 HRF21 IBB21 IKX21 IUT21 JEP21 JOL21 JYH21 KID21 KRZ21 LBV21 LLR21 LVN21 MFJ21 MPF21 MZB21 NIX21 NST21 OCP21 OML21 OWH21 PGD21 PPZ21 PZV21 QJR21 QTN21 RDJ21 RNF21 RXB21 SGX21 SQT21 TAP21 TKL21 TUH21 UED21 UNZ21 UXV21 VHR21 VRN21 WBJ21 WLF21 WVB21 C65557 IP65557 SL65557 ACH65557 AMD65557 AVZ65557 BFV65557 BPR65557 BZN65557 CJJ65557 CTF65557 DDB65557 DMX65557 DWT65557 EGP65557 EQL65557 FAH65557 FKD65557 FTZ65557 GDV65557 GNR65557 GXN65557 HHJ65557 HRF65557 IBB65557 IKX65557 IUT65557 JEP65557 JOL65557 JYH65557 KID65557 KRZ65557 LBV65557 LLR65557 LVN65557 MFJ65557 MPF65557 MZB65557 NIX65557 NST65557 OCP65557 OML65557 OWH65557 PGD65557 PPZ65557 PZV65557 QJR65557 QTN65557 RDJ65557 RNF65557 RXB65557 SGX65557 SQT65557 TAP65557 TKL65557 TUH65557 UED65557 UNZ65557 UXV65557 VHR65557 VRN65557 WBJ65557 WLF65557 WVB65557 C131093 IP131093 SL131093 ACH131093 AMD131093 AVZ131093 BFV131093 BPR131093 BZN131093 CJJ131093 CTF131093 DDB131093 DMX131093 DWT131093 EGP131093 EQL131093 FAH131093 FKD131093 FTZ131093 GDV131093 GNR131093 GXN131093 HHJ131093 HRF131093 IBB131093 IKX131093 IUT131093 JEP131093 JOL131093 JYH131093 KID131093 KRZ131093 LBV131093 LLR131093 LVN131093 MFJ131093 MPF131093 MZB131093 NIX131093 NST131093 OCP131093 OML131093 OWH131093 PGD131093 PPZ131093 PZV131093 QJR131093 QTN131093 RDJ131093 RNF131093 RXB131093 SGX131093 SQT131093 TAP131093 TKL131093 TUH131093 UED131093 UNZ131093 UXV131093 VHR131093 VRN131093 WBJ131093 WLF131093 WVB131093 C196629 IP196629 SL196629 ACH196629 AMD196629 AVZ196629 BFV196629 BPR196629 BZN196629 CJJ196629 CTF196629 DDB196629 DMX196629 DWT196629 EGP196629 EQL196629 FAH196629 FKD196629 FTZ196629 GDV196629 GNR196629 GXN196629 HHJ196629 HRF196629 IBB196629 IKX196629 IUT196629 JEP196629 JOL196629 JYH196629 KID196629 KRZ196629 LBV196629 LLR196629 LVN196629 MFJ196629 MPF196629 MZB196629 NIX196629 NST196629 OCP196629 OML196629 OWH196629 PGD196629 PPZ196629 PZV196629 QJR196629 QTN196629 RDJ196629 RNF196629 RXB196629 SGX196629 SQT196629 TAP196629 TKL196629 TUH196629 UED196629 UNZ196629 UXV196629 VHR196629 VRN196629 WBJ196629 WLF196629 WVB196629 C262165 IP262165 SL262165 ACH262165 AMD262165 AVZ262165 BFV262165 BPR262165 BZN262165 CJJ262165 CTF262165 DDB262165 DMX262165 DWT262165 EGP262165 EQL262165 FAH262165 FKD262165 FTZ262165 GDV262165 GNR262165 GXN262165 HHJ262165 HRF262165 IBB262165 IKX262165 IUT262165 JEP262165 JOL262165 JYH262165 KID262165 KRZ262165 LBV262165 LLR262165 LVN262165 MFJ262165 MPF262165 MZB262165 NIX262165 NST262165 OCP262165 OML262165 OWH262165 PGD262165 PPZ262165 PZV262165 QJR262165 QTN262165 RDJ262165 RNF262165 RXB262165 SGX262165 SQT262165 TAP262165 TKL262165 TUH262165 UED262165 UNZ262165 UXV262165 VHR262165 VRN262165 WBJ262165 WLF262165 WVB262165 C327701 IP327701 SL327701 ACH327701 AMD327701 AVZ327701 BFV327701 BPR327701 BZN327701 CJJ327701 CTF327701 DDB327701 DMX327701 DWT327701 EGP327701 EQL327701 FAH327701 FKD327701 FTZ327701 GDV327701 GNR327701 GXN327701 HHJ327701 HRF327701 IBB327701 IKX327701 IUT327701 JEP327701 JOL327701 JYH327701 KID327701 KRZ327701 LBV327701 LLR327701 LVN327701 MFJ327701 MPF327701 MZB327701 NIX327701 NST327701 OCP327701 OML327701 OWH327701 PGD327701 PPZ327701 PZV327701 QJR327701 QTN327701 RDJ327701 RNF327701 RXB327701 SGX327701 SQT327701 TAP327701 TKL327701 TUH327701 UED327701 UNZ327701 UXV327701 VHR327701 VRN327701 WBJ327701 WLF327701 WVB327701 C393237 IP393237 SL393237 ACH393237 AMD393237 AVZ393237 BFV393237 BPR393237 BZN393237 CJJ393237 CTF393237 DDB393237 DMX393237 DWT393237 EGP393237 EQL393237 FAH393237 FKD393237 FTZ393237 GDV393237 GNR393237 GXN393237 HHJ393237 HRF393237 IBB393237 IKX393237 IUT393237 JEP393237 JOL393237 JYH393237 KID393237 KRZ393237 LBV393237 LLR393237 LVN393237 MFJ393237 MPF393237 MZB393237 NIX393237 NST393237 OCP393237 OML393237 OWH393237 PGD393237 PPZ393237 PZV393237 QJR393237 QTN393237 RDJ393237 RNF393237 RXB393237 SGX393237 SQT393237 TAP393237 TKL393237 TUH393237 UED393237 UNZ393237 UXV393237 VHR393237 VRN393237 WBJ393237 WLF393237 WVB393237 C458773 IP458773 SL458773 ACH458773 AMD458773 AVZ458773 BFV458773 BPR458773 BZN458773 CJJ458773 CTF458773 DDB458773 DMX458773 DWT458773 EGP458773 EQL458773 FAH458773 FKD458773 FTZ458773 GDV458773 GNR458773 GXN458773 HHJ458773 HRF458773 IBB458773 IKX458773 IUT458773 JEP458773 JOL458773 JYH458773 KID458773 KRZ458773 LBV458773 LLR458773 LVN458773 MFJ458773 MPF458773 MZB458773 NIX458773 NST458773 OCP458773 OML458773 OWH458773 PGD458773 PPZ458773 PZV458773 QJR458773 QTN458773 RDJ458773 RNF458773 RXB458773 SGX458773 SQT458773 TAP458773 TKL458773 TUH458773 UED458773 UNZ458773 UXV458773 VHR458773 VRN458773 WBJ458773 WLF458773 WVB458773 C524309 IP524309 SL524309 ACH524309 AMD524309 AVZ524309 BFV524309 BPR524309 BZN524309 CJJ524309 CTF524309 DDB524309 DMX524309 DWT524309 EGP524309 EQL524309 FAH524309 FKD524309 FTZ524309 GDV524309 GNR524309 GXN524309 HHJ524309 HRF524309 IBB524309 IKX524309 IUT524309 JEP524309 JOL524309 JYH524309 KID524309 KRZ524309 LBV524309 LLR524309 LVN524309 MFJ524309 MPF524309 MZB524309 NIX524309 NST524309 OCP524309 OML524309 OWH524309 PGD524309 PPZ524309 PZV524309 QJR524309 QTN524309 RDJ524309 RNF524309 RXB524309 SGX524309 SQT524309 TAP524309 TKL524309 TUH524309 UED524309 UNZ524309 UXV524309 VHR524309 VRN524309 WBJ524309 WLF524309 WVB524309 C589845 IP589845 SL589845 ACH589845 AMD589845 AVZ589845 BFV589845 BPR589845 BZN589845 CJJ589845 CTF589845 DDB589845 DMX589845 DWT589845 EGP589845 EQL589845 FAH589845 FKD589845 FTZ589845 GDV589845 GNR589845 GXN589845 HHJ589845 HRF589845 IBB589845 IKX589845 IUT589845 JEP589845 JOL589845 JYH589845 KID589845 KRZ589845 LBV589845 LLR589845 LVN589845 MFJ589845 MPF589845 MZB589845 NIX589845 NST589845 OCP589845 OML589845 OWH589845 PGD589845 PPZ589845 PZV589845 QJR589845 QTN589845 RDJ589845 RNF589845 RXB589845 SGX589845 SQT589845 TAP589845 TKL589845 TUH589845 UED589845 UNZ589845 UXV589845 VHR589845 VRN589845 WBJ589845 WLF589845 WVB589845 C655381 IP655381 SL655381 ACH655381 AMD655381 AVZ655381 BFV655381 BPR655381 BZN655381 CJJ655381 CTF655381 DDB655381 DMX655381 DWT655381 EGP655381 EQL655381 FAH655381 FKD655381 FTZ655381 GDV655381 GNR655381 GXN655381 HHJ655381 HRF655381 IBB655381 IKX655381 IUT655381 JEP655381 JOL655381 JYH655381 KID655381 KRZ655381 LBV655381 LLR655381 LVN655381 MFJ655381 MPF655381 MZB655381 NIX655381 NST655381 OCP655381 OML655381 OWH655381 PGD655381 PPZ655381 PZV655381 QJR655381 QTN655381 RDJ655381 RNF655381 RXB655381 SGX655381 SQT655381 TAP655381 TKL655381 TUH655381 UED655381 UNZ655381 UXV655381 VHR655381 VRN655381 WBJ655381 WLF655381 WVB655381 C720917 IP720917 SL720917 ACH720917 AMD720917 AVZ720917 BFV720917 BPR720917 BZN720917 CJJ720917 CTF720917 DDB720917 DMX720917 DWT720917 EGP720917 EQL720917 FAH720917 FKD720917 FTZ720917 GDV720917 GNR720917 GXN720917 HHJ720917 HRF720917 IBB720917 IKX720917 IUT720917 JEP720917 JOL720917 JYH720917 KID720917 KRZ720917 LBV720917 LLR720917 LVN720917 MFJ720917 MPF720917 MZB720917 NIX720917 NST720917 OCP720917 OML720917 OWH720917 PGD720917 PPZ720917 PZV720917 QJR720917 QTN720917 RDJ720917 RNF720917 RXB720917 SGX720917 SQT720917 TAP720917 TKL720917 TUH720917 UED720917 UNZ720917 UXV720917 VHR720917 VRN720917 WBJ720917 WLF720917 WVB720917 C786453 IP786453 SL786453 ACH786453 AMD786453 AVZ786453 BFV786453 BPR786453 BZN786453 CJJ786453 CTF786453 DDB786453 DMX786453 DWT786453 EGP786453 EQL786453 FAH786453 FKD786453 FTZ786453 GDV786453 GNR786453 GXN786453 HHJ786453 HRF786453 IBB786453 IKX786453 IUT786453 JEP786453 JOL786453 JYH786453 KID786453 KRZ786453 LBV786453 LLR786453 LVN786453 MFJ786453 MPF786453 MZB786453 NIX786453 NST786453 OCP786453 OML786453 OWH786453 PGD786453 PPZ786453 PZV786453 QJR786453 QTN786453 RDJ786453 RNF786453 RXB786453 SGX786453 SQT786453 TAP786453 TKL786453 TUH786453 UED786453 UNZ786453 UXV786453 VHR786453 VRN786453 WBJ786453 WLF786453 WVB786453 C851989 IP851989 SL851989 ACH851989 AMD851989 AVZ851989 BFV851989 BPR851989 BZN851989 CJJ851989 CTF851989 DDB851989 DMX851989 DWT851989 EGP851989 EQL851989 FAH851989 FKD851989 FTZ851989 GDV851989 GNR851989 GXN851989 HHJ851989 HRF851989 IBB851989 IKX851989 IUT851989 JEP851989 JOL851989 JYH851989 KID851989 KRZ851989 LBV851989 LLR851989 LVN851989 MFJ851989 MPF851989 MZB851989 NIX851989 NST851989 OCP851989 OML851989 OWH851989 PGD851989 PPZ851989 PZV851989 QJR851989 QTN851989 RDJ851989 RNF851989 RXB851989 SGX851989 SQT851989 TAP851989 TKL851989 TUH851989 UED851989 UNZ851989 UXV851989 VHR851989 VRN851989 WBJ851989 WLF851989 WVB851989 C917525 IP917525 SL917525 ACH917525 AMD917525 AVZ917525 BFV917525 BPR917525 BZN917525 CJJ917525 CTF917525 DDB917525 DMX917525 DWT917525 EGP917525 EQL917525 FAH917525 FKD917525 FTZ917525 GDV917525 GNR917525 GXN917525 HHJ917525 HRF917525 IBB917525 IKX917525 IUT917525 JEP917525 JOL917525 JYH917525 KID917525 KRZ917525 LBV917525 LLR917525 LVN917525 MFJ917525 MPF917525 MZB917525 NIX917525 NST917525 OCP917525 OML917525 OWH917525 PGD917525 PPZ917525 PZV917525 QJR917525 QTN917525 RDJ917525 RNF917525 RXB917525 SGX917525 SQT917525 TAP917525 TKL917525 TUH917525 UED917525 UNZ917525 UXV917525 VHR917525 VRN917525 WBJ917525 WLF917525 WVB917525 C983061 IP983061 SL983061 ACH983061 AMD983061 AVZ983061 BFV983061 BPR983061 BZN983061 CJJ983061 CTF983061 DDB983061 DMX983061 DWT983061 EGP983061 EQL983061 FAH983061 FKD983061 FTZ983061 GDV983061 GNR983061 GXN983061 HHJ983061 HRF983061 IBB983061 IKX983061 IUT983061 JEP983061 JOL983061 JYH983061 KID983061 KRZ983061 LBV983061 LLR983061 LVN983061 MFJ983061 MPF983061 MZB983061 NIX983061 NST983061 OCP983061 OML983061 OWH983061 PGD983061 PPZ983061 PZV983061 QJR983061 QTN983061 RDJ983061 RNF983061 RXB983061 SGX983061 SQT983061 TAP983061 TKL983061 TUH983061 UED983061 UNZ983061 UXV983061 VHR983061 VRN983061 WBJ983061 WLF983061 WVB983061 IP21 Q18 SZ18 ACV18 AMR18 AWN18 BGJ18 BQF18 CAB18 CJX18 CTT18 DDP18 DNL18 DXH18 EHD18 EQZ18 FAV18 FKR18 FUN18 GEJ18 GOF18 GYB18 HHX18 HRT18 IBP18 ILL18 IVH18 JFD18 JOZ18 JYV18 KIR18 KSN18 LCJ18 LMF18 LWB18 MFX18 MPT18 MZP18 NJL18 NTH18 ODD18 OMZ18 OWV18 PGR18 PQN18 QAJ18 QKF18 QUB18 RDX18 RNT18 RXP18 SHL18 SRH18 TBD18 TKZ18 TUV18 UER18 UON18 UYJ18 VIF18 VSB18 WBX18 WLT18 WVP18 Q65554 JD65554 SZ65554 ACV65554 AMR65554 AWN65554 BGJ65554 BQF65554 CAB65554 CJX65554 CTT65554 DDP65554 DNL65554 DXH65554 EHD65554 EQZ65554 FAV65554 FKR65554 FUN65554 GEJ65554 GOF65554 GYB65554 HHX65554 HRT65554 IBP65554 ILL65554 IVH65554 JFD65554 JOZ65554 JYV65554 KIR65554 KSN65554 LCJ65554 LMF65554 LWB65554 MFX65554 MPT65554 MZP65554 NJL65554 NTH65554 ODD65554 OMZ65554 OWV65554 PGR65554 PQN65554 QAJ65554 QKF65554 QUB65554 RDX65554 RNT65554 RXP65554 SHL65554 SRH65554 TBD65554 TKZ65554 TUV65554 UER65554 UON65554 UYJ65554 VIF65554 VSB65554 WBX65554 WLT65554 WVP65554 Q131090 JD131090 SZ131090 ACV131090 AMR131090 AWN131090 BGJ131090 BQF131090 CAB131090 CJX131090 CTT131090 DDP131090 DNL131090 DXH131090 EHD131090 EQZ131090 FAV131090 FKR131090 FUN131090 GEJ131090 GOF131090 GYB131090 HHX131090 HRT131090 IBP131090 ILL131090 IVH131090 JFD131090 JOZ131090 JYV131090 KIR131090 KSN131090 LCJ131090 LMF131090 LWB131090 MFX131090 MPT131090 MZP131090 NJL131090 NTH131090 ODD131090 OMZ131090 OWV131090 PGR131090 PQN131090 QAJ131090 QKF131090 QUB131090 RDX131090 RNT131090 RXP131090 SHL131090 SRH131090 TBD131090 TKZ131090 TUV131090 UER131090 UON131090 UYJ131090 VIF131090 VSB131090 WBX131090 WLT131090 WVP131090 Q196626 JD196626 SZ196626 ACV196626 AMR196626 AWN196626 BGJ196626 BQF196626 CAB196626 CJX196626 CTT196626 DDP196626 DNL196626 DXH196626 EHD196626 EQZ196626 FAV196626 FKR196626 FUN196626 GEJ196626 GOF196626 GYB196626 HHX196626 HRT196626 IBP196626 ILL196626 IVH196626 JFD196626 JOZ196626 JYV196626 KIR196626 KSN196626 LCJ196626 LMF196626 LWB196626 MFX196626 MPT196626 MZP196626 NJL196626 NTH196626 ODD196626 OMZ196626 OWV196626 PGR196626 PQN196626 QAJ196626 QKF196626 QUB196626 RDX196626 RNT196626 RXP196626 SHL196626 SRH196626 TBD196626 TKZ196626 TUV196626 UER196626 UON196626 UYJ196626 VIF196626 VSB196626 WBX196626 WLT196626 WVP196626 Q262162 JD262162 SZ262162 ACV262162 AMR262162 AWN262162 BGJ262162 BQF262162 CAB262162 CJX262162 CTT262162 DDP262162 DNL262162 DXH262162 EHD262162 EQZ262162 FAV262162 FKR262162 FUN262162 GEJ262162 GOF262162 GYB262162 HHX262162 HRT262162 IBP262162 ILL262162 IVH262162 JFD262162 JOZ262162 JYV262162 KIR262162 KSN262162 LCJ262162 LMF262162 LWB262162 MFX262162 MPT262162 MZP262162 NJL262162 NTH262162 ODD262162 OMZ262162 OWV262162 PGR262162 PQN262162 QAJ262162 QKF262162 QUB262162 RDX262162 RNT262162 RXP262162 SHL262162 SRH262162 TBD262162 TKZ262162 TUV262162 UER262162 UON262162 UYJ262162 VIF262162 VSB262162 WBX262162 WLT262162 WVP262162 Q327698 JD327698 SZ327698 ACV327698 AMR327698 AWN327698 BGJ327698 BQF327698 CAB327698 CJX327698 CTT327698 DDP327698 DNL327698 DXH327698 EHD327698 EQZ327698 FAV327698 FKR327698 FUN327698 GEJ327698 GOF327698 GYB327698 HHX327698 HRT327698 IBP327698 ILL327698 IVH327698 JFD327698 JOZ327698 JYV327698 KIR327698 KSN327698 LCJ327698 LMF327698 LWB327698 MFX327698 MPT327698 MZP327698 NJL327698 NTH327698 ODD327698 OMZ327698 OWV327698 PGR327698 PQN327698 QAJ327698 QKF327698 QUB327698 RDX327698 RNT327698 RXP327698 SHL327698 SRH327698 TBD327698 TKZ327698 TUV327698 UER327698 UON327698 UYJ327698 VIF327698 VSB327698 WBX327698 WLT327698 WVP327698 Q393234 JD393234 SZ393234 ACV393234 AMR393234 AWN393234 BGJ393234 BQF393234 CAB393234 CJX393234 CTT393234 DDP393234 DNL393234 DXH393234 EHD393234 EQZ393234 FAV393234 FKR393234 FUN393234 GEJ393234 GOF393234 GYB393234 HHX393234 HRT393234 IBP393234 ILL393234 IVH393234 JFD393234 JOZ393234 JYV393234 KIR393234 KSN393234 LCJ393234 LMF393234 LWB393234 MFX393234 MPT393234 MZP393234 NJL393234 NTH393234 ODD393234 OMZ393234 OWV393234 PGR393234 PQN393234 QAJ393234 QKF393234 QUB393234 RDX393234 RNT393234 RXP393234 SHL393234 SRH393234 TBD393234 TKZ393234 TUV393234 UER393234 UON393234 UYJ393234 VIF393234 VSB393234 WBX393234 WLT393234 WVP393234 Q458770 JD458770 SZ458770 ACV458770 AMR458770 AWN458770 BGJ458770 BQF458770 CAB458770 CJX458770 CTT458770 DDP458770 DNL458770 DXH458770 EHD458770 EQZ458770 FAV458770 FKR458770 FUN458770 GEJ458770 GOF458770 GYB458770 HHX458770 HRT458770 IBP458770 ILL458770 IVH458770 JFD458770 JOZ458770 JYV458770 KIR458770 KSN458770 LCJ458770 LMF458770 LWB458770 MFX458770 MPT458770 MZP458770 NJL458770 NTH458770 ODD458770 OMZ458770 OWV458770 PGR458770 PQN458770 QAJ458770 QKF458770 QUB458770 RDX458770 RNT458770 RXP458770 SHL458770 SRH458770 TBD458770 TKZ458770 TUV458770 UER458770 UON458770 UYJ458770 VIF458770 VSB458770 WBX458770 WLT458770 WVP458770 Q524306 JD524306 SZ524306 ACV524306 AMR524306 AWN524306 BGJ524306 BQF524306 CAB524306 CJX524306 CTT524306 DDP524306 DNL524306 DXH524306 EHD524306 EQZ524306 FAV524306 FKR524306 FUN524306 GEJ524306 GOF524306 GYB524306 HHX524306 HRT524306 IBP524306 ILL524306 IVH524306 JFD524306 JOZ524306 JYV524306 KIR524306 KSN524306 LCJ524306 LMF524306 LWB524306 MFX524306 MPT524306 MZP524306 NJL524306 NTH524306 ODD524306 OMZ524306 OWV524306 PGR524306 PQN524306 QAJ524306 QKF524306 QUB524306 RDX524306 RNT524306 RXP524306 SHL524306 SRH524306 TBD524306 TKZ524306 TUV524306 UER524306 UON524306 UYJ524306 VIF524306 VSB524306 WBX524306 WLT524306 WVP524306 Q589842 JD589842 SZ589842 ACV589842 AMR589842 AWN589842 BGJ589842 BQF589842 CAB589842 CJX589842 CTT589842 DDP589842 DNL589842 DXH589842 EHD589842 EQZ589842 FAV589842 FKR589842 FUN589842 GEJ589842 GOF589842 GYB589842 HHX589842 HRT589842 IBP589842 ILL589842 IVH589842 JFD589842 JOZ589842 JYV589842 KIR589842 KSN589842 LCJ589842 LMF589842 LWB589842 MFX589842 MPT589842 MZP589842 NJL589842 NTH589842 ODD589842 OMZ589842 OWV589842 PGR589842 PQN589842 QAJ589842 QKF589842 QUB589842 RDX589842 RNT589842 RXP589842 SHL589842 SRH589842 TBD589842 TKZ589842 TUV589842 UER589842 UON589842 UYJ589842 VIF589842 VSB589842 WBX589842 WLT589842 WVP589842 Q655378 JD655378 SZ655378 ACV655378 AMR655378 AWN655378 BGJ655378 BQF655378 CAB655378 CJX655378 CTT655378 DDP655378 DNL655378 DXH655378 EHD655378 EQZ655378 FAV655378 FKR655378 FUN655378 GEJ655378 GOF655378 GYB655378 HHX655378 HRT655378 IBP655378 ILL655378 IVH655378 JFD655378 JOZ655378 JYV655378 KIR655378 KSN655378 LCJ655378 LMF655378 LWB655378 MFX655378 MPT655378 MZP655378 NJL655378 NTH655378 ODD655378 OMZ655378 OWV655378 PGR655378 PQN655378 QAJ655378 QKF655378 QUB655378 RDX655378 RNT655378 RXP655378 SHL655378 SRH655378 TBD655378 TKZ655378 TUV655378 UER655378 UON655378 UYJ655378 VIF655378 VSB655378 WBX655378 WLT655378 WVP655378 Q720914 JD720914 SZ720914 ACV720914 AMR720914 AWN720914 BGJ720914 BQF720914 CAB720914 CJX720914 CTT720914 DDP720914 DNL720914 DXH720914 EHD720914 EQZ720914 FAV720914 FKR720914 FUN720914 GEJ720914 GOF720914 GYB720914 HHX720914 HRT720914 IBP720914 ILL720914 IVH720914 JFD720914 JOZ720914 JYV720914 KIR720914 KSN720914 LCJ720914 LMF720914 LWB720914 MFX720914 MPT720914 MZP720914 NJL720914 NTH720914 ODD720914 OMZ720914 OWV720914 PGR720914 PQN720914 QAJ720914 QKF720914 QUB720914 RDX720914 RNT720914 RXP720914 SHL720914 SRH720914 TBD720914 TKZ720914 TUV720914 UER720914 UON720914 UYJ720914 VIF720914 VSB720914 WBX720914 WLT720914 WVP720914 Q786450 JD786450 SZ786450 ACV786450 AMR786450 AWN786450 BGJ786450 BQF786450 CAB786450 CJX786450 CTT786450 DDP786450 DNL786450 DXH786450 EHD786450 EQZ786450 FAV786450 FKR786450 FUN786450 GEJ786450 GOF786450 GYB786450 HHX786450 HRT786450 IBP786450 ILL786450 IVH786450 JFD786450 JOZ786450 JYV786450 KIR786450 KSN786450 LCJ786450 LMF786450 LWB786450 MFX786450 MPT786450 MZP786450 NJL786450 NTH786450 ODD786450 OMZ786450 OWV786450 PGR786450 PQN786450 QAJ786450 QKF786450 QUB786450 RDX786450 RNT786450 RXP786450 SHL786450 SRH786450 TBD786450 TKZ786450 TUV786450 UER786450 UON786450 UYJ786450 VIF786450 VSB786450 WBX786450 WLT786450 WVP786450 Q851986 JD851986 SZ851986 ACV851986 AMR851986 AWN851986 BGJ851986 BQF851986 CAB851986 CJX851986 CTT851986 DDP851986 DNL851986 DXH851986 EHD851986 EQZ851986 FAV851986 FKR851986 FUN851986 GEJ851986 GOF851986 GYB851986 HHX851986 HRT851986 IBP851986 ILL851986 IVH851986 JFD851986 JOZ851986 JYV851986 KIR851986 KSN851986 LCJ851986 LMF851986 LWB851986 MFX851986 MPT851986 MZP851986 NJL851986 NTH851986 ODD851986 OMZ851986 OWV851986 PGR851986 PQN851986 QAJ851986 QKF851986 QUB851986 RDX851986 RNT851986 RXP851986 SHL851986 SRH851986 TBD851986 TKZ851986 TUV851986 UER851986 UON851986 UYJ851986 VIF851986 VSB851986 WBX851986 WLT851986 WVP851986 Q917522 JD917522 SZ917522 ACV917522 AMR917522 AWN917522 BGJ917522 BQF917522 CAB917522 CJX917522 CTT917522 DDP917522 DNL917522 DXH917522 EHD917522 EQZ917522 FAV917522 FKR917522 FUN917522 GEJ917522 GOF917522 GYB917522 HHX917522 HRT917522 IBP917522 ILL917522 IVH917522 JFD917522 JOZ917522 JYV917522 KIR917522 KSN917522 LCJ917522 LMF917522 LWB917522 MFX917522 MPT917522 MZP917522 NJL917522 NTH917522 ODD917522 OMZ917522 OWV917522 PGR917522 PQN917522 QAJ917522 QKF917522 QUB917522 RDX917522 RNT917522 RXP917522 SHL917522 SRH917522 TBD917522 TKZ917522 TUV917522 UER917522 UON917522 UYJ917522 VIF917522 VSB917522 WBX917522 WLT917522 WVP917522 Q983058 JD983058 SZ983058 ACV983058 AMR983058 AWN983058 BGJ983058 BQF983058 CAB983058 CJX983058 CTT983058 DDP983058 DNL983058 DXH983058 EHD983058 EQZ983058 FAV983058 FKR983058 FUN983058 GEJ983058 GOF983058 GYB983058 HHX983058 HRT983058 IBP983058 ILL983058 IVH983058 JFD983058 JOZ983058 JYV983058 KIR983058 KSN983058 LCJ983058 LMF983058 LWB983058 MFX983058 MPT983058 MZP983058 NJL983058 NTH983058 ODD983058 OMZ983058 OWV983058 PGR983058 PQN983058 QAJ983058 QKF983058 QUB983058 RDX983058 RNT983058 RXP983058 SHL983058 SRH983058 TBD983058 TKZ983058 TUV983058 UER983058 UON983058 UYJ983058 VIF983058 VSB983058 WBX983058 WLT983058 WVP983058 WVP983060:WVP983073 JD20:JD33 SZ20:SZ33 ACV20:ACV33 AMR20:AMR33 AWN20:AWN33 BGJ20:BGJ33 BQF20:BQF33 CAB20:CAB33 CJX20:CJX33 CTT20:CTT33 DDP20:DDP33 DNL20:DNL33 DXH20:DXH33 EHD20:EHD33 EQZ20:EQZ33 FAV20:FAV33 FKR20:FKR33 FUN20:FUN33 GEJ20:GEJ33 GOF20:GOF33 GYB20:GYB33 HHX20:HHX33 HRT20:HRT33 IBP20:IBP33 ILL20:ILL33 IVH20:IVH33 JFD20:JFD33 JOZ20:JOZ33 JYV20:JYV33 KIR20:KIR33 KSN20:KSN33 LCJ20:LCJ33 LMF20:LMF33 LWB20:LWB33 MFX20:MFX33 MPT20:MPT33 MZP20:MZP33 NJL20:NJL33 NTH20:NTH33 ODD20:ODD33 OMZ20:OMZ33 OWV20:OWV33 PGR20:PGR33 PQN20:PQN33 QAJ20:QAJ33 QKF20:QKF33 QUB20:QUB33 RDX20:RDX33 RNT20:RNT33 RXP20:RXP33 SHL20:SHL33 SRH20:SRH33 TBD20:TBD33 TKZ20:TKZ33 TUV20:TUV33 UER20:UER33 UON20:UON33 UYJ20:UYJ33 VIF20:VIF33 VSB20:VSB33 WBX20:WBX33 WLT20:WLT33 WVP20:WVP33 Q65556:Q65569 JD65556:JD65569 SZ65556:SZ65569 ACV65556:ACV65569 AMR65556:AMR65569 AWN65556:AWN65569 BGJ65556:BGJ65569 BQF65556:BQF65569 CAB65556:CAB65569 CJX65556:CJX65569 CTT65556:CTT65569 DDP65556:DDP65569 DNL65556:DNL65569 DXH65556:DXH65569 EHD65556:EHD65569 EQZ65556:EQZ65569 FAV65556:FAV65569 FKR65556:FKR65569 FUN65556:FUN65569 GEJ65556:GEJ65569 GOF65556:GOF65569 GYB65556:GYB65569 HHX65556:HHX65569 HRT65556:HRT65569 IBP65556:IBP65569 ILL65556:ILL65569 IVH65556:IVH65569 JFD65556:JFD65569 JOZ65556:JOZ65569 JYV65556:JYV65569 KIR65556:KIR65569 KSN65556:KSN65569 LCJ65556:LCJ65569 LMF65556:LMF65569 LWB65556:LWB65569 MFX65556:MFX65569 MPT65556:MPT65569 MZP65556:MZP65569 NJL65556:NJL65569 NTH65556:NTH65569 ODD65556:ODD65569 OMZ65556:OMZ65569 OWV65556:OWV65569 PGR65556:PGR65569 PQN65556:PQN65569 QAJ65556:QAJ65569 QKF65556:QKF65569 QUB65556:QUB65569 RDX65556:RDX65569 RNT65556:RNT65569 RXP65556:RXP65569 SHL65556:SHL65569 SRH65556:SRH65569 TBD65556:TBD65569 TKZ65556:TKZ65569 TUV65556:TUV65569 UER65556:UER65569 UON65556:UON65569 UYJ65556:UYJ65569 VIF65556:VIF65569 VSB65556:VSB65569 WBX65556:WBX65569 WLT65556:WLT65569 WVP65556:WVP65569 Q131092:Q131105 JD131092:JD131105 SZ131092:SZ131105 ACV131092:ACV131105 AMR131092:AMR131105 AWN131092:AWN131105 BGJ131092:BGJ131105 BQF131092:BQF131105 CAB131092:CAB131105 CJX131092:CJX131105 CTT131092:CTT131105 DDP131092:DDP131105 DNL131092:DNL131105 DXH131092:DXH131105 EHD131092:EHD131105 EQZ131092:EQZ131105 FAV131092:FAV131105 FKR131092:FKR131105 FUN131092:FUN131105 GEJ131092:GEJ131105 GOF131092:GOF131105 GYB131092:GYB131105 HHX131092:HHX131105 HRT131092:HRT131105 IBP131092:IBP131105 ILL131092:ILL131105 IVH131092:IVH131105 JFD131092:JFD131105 JOZ131092:JOZ131105 JYV131092:JYV131105 KIR131092:KIR131105 KSN131092:KSN131105 LCJ131092:LCJ131105 LMF131092:LMF131105 LWB131092:LWB131105 MFX131092:MFX131105 MPT131092:MPT131105 MZP131092:MZP131105 NJL131092:NJL131105 NTH131092:NTH131105 ODD131092:ODD131105 OMZ131092:OMZ131105 OWV131092:OWV131105 PGR131092:PGR131105 PQN131092:PQN131105 QAJ131092:QAJ131105 QKF131092:QKF131105 QUB131092:QUB131105 RDX131092:RDX131105 RNT131092:RNT131105 RXP131092:RXP131105 SHL131092:SHL131105 SRH131092:SRH131105 TBD131092:TBD131105 TKZ131092:TKZ131105 TUV131092:TUV131105 UER131092:UER131105 UON131092:UON131105 UYJ131092:UYJ131105 VIF131092:VIF131105 VSB131092:VSB131105 WBX131092:WBX131105 WLT131092:WLT131105 WVP131092:WVP131105 Q196628:Q196641 JD196628:JD196641 SZ196628:SZ196641 ACV196628:ACV196641 AMR196628:AMR196641 AWN196628:AWN196641 BGJ196628:BGJ196641 BQF196628:BQF196641 CAB196628:CAB196641 CJX196628:CJX196641 CTT196628:CTT196641 DDP196628:DDP196641 DNL196628:DNL196641 DXH196628:DXH196641 EHD196628:EHD196641 EQZ196628:EQZ196641 FAV196628:FAV196641 FKR196628:FKR196641 FUN196628:FUN196641 GEJ196628:GEJ196641 GOF196628:GOF196641 GYB196628:GYB196641 HHX196628:HHX196641 HRT196628:HRT196641 IBP196628:IBP196641 ILL196628:ILL196641 IVH196628:IVH196641 JFD196628:JFD196641 JOZ196628:JOZ196641 JYV196628:JYV196641 KIR196628:KIR196641 KSN196628:KSN196641 LCJ196628:LCJ196641 LMF196628:LMF196641 LWB196628:LWB196641 MFX196628:MFX196641 MPT196628:MPT196641 MZP196628:MZP196641 NJL196628:NJL196641 NTH196628:NTH196641 ODD196628:ODD196641 OMZ196628:OMZ196641 OWV196628:OWV196641 PGR196628:PGR196641 PQN196628:PQN196641 QAJ196628:QAJ196641 QKF196628:QKF196641 QUB196628:QUB196641 RDX196628:RDX196641 RNT196628:RNT196641 RXP196628:RXP196641 SHL196628:SHL196641 SRH196628:SRH196641 TBD196628:TBD196641 TKZ196628:TKZ196641 TUV196628:TUV196641 UER196628:UER196641 UON196628:UON196641 UYJ196628:UYJ196641 VIF196628:VIF196641 VSB196628:VSB196641 WBX196628:WBX196641 WLT196628:WLT196641 WVP196628:WVP196641 Q262164:Q262177 JD262164:JD262177 SZ262164:SZ262177 ACV262164:ACV262177 AMR262164:AMR262177 AWN262164:AWN262177 BGJ262164:BGJ262177 BQF262164:BQF262177 CAB262164:CAB262177 CJX262164:CJX262177 CTT262164:CTT262177 DDP262164:DDP262177 DNL262164:DNL262177 DXH262164:DXH262177 EHD262164:EHD262177 EQZ262164:EQZ262177 FAV262164:FAV262177 FKR262164:FKR262177 FUN262164:FUN262177 GEJ262164:GEJ262177 GOF262164:GOF262177 GYB262164:GYB262177 HHX262164:HHX262177 HRT262164:HRT262177 IBP262164:IBP262177 ILL262164:ILL262177 IVH262164:IVH262177 JFD262164:JFD262177 JOZ262164:JOZ262177 JYV262164:JYV262177 KIR262164:KIR262177 KSN262164:KSN262177 LCJ262164:LCJ262177 LMF262164:LMF262177 LWB262164:LWB262177 MFX262164:MFX262177 MPT262164:MPT262177 MZP262164:MZP262177 NJL262164:NJL262177 NTH262164:NTH262177 ODD262164:ODD262177 OMZ262164:OMZ262177 OWV262164:OWV262177 PGR262164:PGR262177 PQN262164:PQN262177 QAJ262164:QAJ262177 QKF262164:QKF262177 QUB262164:QUB262177 RDX262164:RDX262177 RNT262164:RNT262177 RXP262164:RXP262177 SHL262164:SHL262177 SRH262164:SRH262177 TBD262164:TBD262177 TKZ262164:TKZ262177 TUV262164:TUV262177 UER262164:UER262177 UON262164:UON262177 UYJ262164:UYJ262177 VIF262164:VIF262177 VSB262164:VSB262177 WBX262164:WBX262177 WLT262164:WLT262177 WVP262164:WVP262177 Q327700:Q327713 JD327700:JD327713 SZ327700:SZ327713 ACV327700:ACV327713 AMR327700:AMR327713 AWN327700:AWN327713 BGJ327700:BGJ327713 BQF327700:BQF327713 CAB327700:CAB327713 CJX327700:CJX327713 CTT327700:CTT327713 DDP327700:DDP327713 DNL327700:DNL327713 DXH327700:DXH327713 EHD327700:EHD327713 EQZ327700:EQZ327713 FAV327700:FAV327713 FKR327700:FKR327713 FUN327700:FUN327713 GEJ327700:GEJ327713 GOF327700:GOF327713 GYB327700:GYB327713 HHX327700:HHX327713 HRT327700:HRT327713 IBP327700:IBP327713 ILL327700:ILL327713 IVH327700:IVH327713 JFD327700:JFD327713 JOZ327700:JOZ327713 JYV327700:JYV327713 KIR327700:KIR327713 KSN327700:KSN327713 LCJ327700:LCJ327713 LMF327700:LMF327713 LWB327700:LWB327713 MFX327700:MFX327713 MPT327700:MPT327713 MZP327700:MZP327713 NJL327700:NJL327713 NTH327700:NTH327713 ODD327700:ODD327713 OMZ327700:OMZ327713 OWV327700:OWV327713 PGR327700:PGR327713 PQN327700:PQN327713 QAJ327700:QAJ327713 QKF327700:QKF327713 QUB327700:QUB327713 RDX327700:RDX327713 RNT327700:RNT327713 RXP327700:RXP327713 SHL327700:SHL327713 SRH327700:SRH327713 TBD327700:TBD327713 TKZ327700:TKZ327713 TUV327700:TUV327713 UER327700:UER327713 UON327700:UON327713 UYJ327700:UYJ327713 VIF327700:VIF327713 VSB327700:VSB327713 WBX327700:WBX327713 WLT327700:WLT327713 WVP327700:WVP327713 Q393236:Q393249 JD393236:JD393249 SZ393236:SZ393249 ACV393236:ACV393249 AMR393236:AMR393249 AWN393236:AWN393249 BGJ393236:BGJ393249 BQF393236:BQF393249 CAB393236:CAB393249 CJX393236:CJX393249 CTT393236:CTT393249 DDP393236:DDP393249 DNL393236:DNL393249 DXH393236:DXH393249 EHD393236:EHD393249 EQZ393236:EQZ393249 FAV393236:FAV393249 FKR393236:FKR393249 FUN393236:FUN393249 GEJ393236:GEJ393249 GOF393236:GOF393249 GYB393236:GYB393249 HHX393236:HHX393249 HRT393236:HRT393249 IBP393236:IBP393249 ILL393236:ILL393249 IVH393236:IVH393249 JFD393236:JFD393249 JOZ393236:JOZ393249 JYV393236:JYV393249 KIR393236:KIR393249 KSN393236:KSN393249 LCJ393236:LCJ393249 LMF393236:LMF393249 LWB393236:LWB393249 MFX393236:MFX393249 MPT393236:MPT393249 MZP393236:MZP393249 NJL393236:NJL393249 NTH393236:NTH393249 ODD393236:ODD393249 OMZ393236:OMZ393249 OWV393236:OWV393249 PGR393236:PGR393249 PQN393236:PQN393249 QAJ393236:QAJ393249 QKF393236:QKF393249 QUB393236:QUB393249 RDX393236:RDX393249 RNT393236:RNT393249 RXP393236:RXP393249 SHL393236:SHL393249 SRH393236:SRH393249 TBD393236:TBD393249 TKZ393236:TKZ393249 TUV393236:TUV393249 UER393236:UER393249 UON393236:UON393249 UYJ393236:UYJ393249 VIF393236:VIF393249 VSB393236:VSB393249 WBX393236:WBX393249 WLT393236:WLT393249 WVP393236:WVP393249 Q458772:Q458785 JD458772:JD458785 SZ458772:SZ458785 ACV458772:ACV458785 AMR458772:AMR458785 AWN458772:AWN458785 BGJ458772:BGJ458785 BQF458772:BQF458785 CAB458772:CAB458785 CJX458772:CJX458785 CTT458772:CTT458785 DDP458772:DDP458785 DNL458772:DNL458785 DXH458772:DXH458785 EHD458772:EHD458785 EQZ458772:EQZ458785 FAV458772:FAV458785 FKR458772:FKR458785 FUN458772:FUN458785 GEJ458772:GEJ458785 GOF458772:GOF458785 GYB458772:GYB458785 HHX458772:HHX458785 HRT458772:HRT458785 IBP458772:IBP458785 ILL458772:ILL458785 IVH458772:IVH458785 JFD458772:JFD458785 JOZ458772:JOZ458785 JYV458772:JYV458785 KIR458772:KIR458785 KSN458772:KSN458785 LCJ458772:LCJ458785 LMF458772:LMF458785 LWB458772:LWB458785 MFX458772:MFX458785 MPT458772:MPT458785 MZP458772:MZP458785 NJL458772:NJL458785 NTH458772:NTH458785 ODD458772:ODD458785 OMZ458772:OMZ458785 OWV458772:OWV458785 PGR458772:PGR458785 PQN458772:PQN458785 QAJ458772:QAJ458785 QKF458772:QKF458785 QUB458772:QUB458785 RDX458772:RDX458785 RNT458772:RNT458785 RXP458772:RXP458785 SHL458772:SHL458785 SRH458772:SRH458785 TBD458772:TBD458785 TKZ458772:TKZ458785 TUV458772:TUV458785 UER458772:UER458785 UON458772:UON458785 UYJ458772:UYJ458785 VIF458772:VIF458785 VSB458772:VSB458785 WBX458772:WBX458785 WLT458772:WLT458785 WVP458772:WVP458785 Q524308:Q524321 JD524308:JD524321 SZ524308:SZ524321 ACV524308:ACV524321 AMR524308:AMR524321 AWN524308:AWN524321 BGJ524308:BGJ524321 BQF524308:BQF524321 CAB524308:CAB524321 CJX524308:CJX524321 CTT524308:CTT524321 DDP524308:DDP524321 DNL524308:DNL524321 DXH524308:DXH524321 EHD524308:EHD524321 EQZ524308:EQZ524321 FAV524308:FAV524321 FKR524308:FKR524321 FUN524308:FUN524321 GEJ524308:GEJ524321 GOF524308:GOF524321 GYB524308:GYB524321 HHX524308:HHX524321 HRT524308:HRT524321 IBP524308:IBP524321 ILL524308:ILL524321 IVH524308:IVH524321 JFD524308:JFD524321 JOZ524308:JOZ524321 JYV524308:JYV524321 KIR524308:KIR524321 KSN524308:KSN524321 LCJ524308:LCJ524321 LMF524308:LMF524321 LWB524308:LWB524321 MFX524308:MFX524321 MPT524308:MPT524321 MZP524308:MZP524321 NJL524308:NJL524321 NTH524308:NTH524321 ODD524308:ODD524321 OMZ524308:OMZ524321 OWV524308:OWV524321 PGR524308:PGR524321 PQN524308:PQN524321 QAJ524308:QAJ524321 QKF524308:QKF524321 QUB524308:QUB524321 RDX524308:RDX524321 RNT524308:RNT524321 RXP524308:RXP524321 SHL524308:SHL524321 SRH524308:SRH524321 TBD524308:TBD524321 TKZ524308:TKZ524321 TUV524308:TUV524321 UER524308:UER524321 UON524308:UON524321 UYJ524308:UYJ524321 VIF524308:VIF524321 VSB524308:VSB524321 WBX524308:WBX524321 WLT524308:WLT524321 WVP524308:WVP524321 Q589844:Q589857 JD589844:JD589857 SZ589844:SZ589857 ACV589844:ACV589857 AMR589844:AMR589857 AWN589844:AWN589857 BGJ589844:BGJ589857 BQF589844:BQF589857 CAB589844:CAB589857 CJX589844:CJX589857 CTT589844:CTT589857 DDP589844:DDP589857 DNL589844:DNL589857 DXH589844:DXH589857 EHD589844:EHD589857 EQZ589844:EQZ589857 FAV589844:FAV589857 FKR589844:FKR589857 FUN589844:FUN589857 GEJ589844:GEJ589857 GOF589844:GOF589857 GYB589844:GYB589857 HHX589844:HHX589857 HRT589844:HRT589857 IBP589844:IBP589857 ILL589844:ILL589857 IVH589844:IVH589857 JFD589844:JFD589857 JOZ589844:JOZ589857 JYV589844:JYV589857 KIR589844:KIR589857 KSN589844:KSN589857 LCJ589844:LCJ589857 LMF589844:LMF589857 LWB589844:LWB589857 MFX589844:MFX589857 MPT589844:MPT589857 MZP589844:MZP589857 NJL589844:NJL589857 NTH589844:NTH589857 ODD589844:ODD589857 OMZ589844:OMZ589857 OWV589844:OWV589857 PGR589844:PGR589857 PQN589844:PQN589857 QAJ589844:QAJ589857 QKF589844:QKF589857 QUB589844:QUB589857 RDX589844:RDX589857 RNT589844:RNT589857 RXP589844:RXP589857 SHL589844:SHL589857 SRH589844:SRH589857 TBD589844:TBD589857 TKZ589844:TKZ589857 TUV589844:TUV589857 UER589844:UER589857 UON589844:UON589857 UYJ589844:UYJ589857 VIF589844:VIF589857 VSB589844:VSB589857 WBX589844:WBX589857 WLT589844:WLT589857 WVP589844:WVP589857 Q655380:Q655393 JD655380:JD655393 SZ655380:SZ655393 ACV655380:ACV655393 AMR655380:AMR655393 AWN655380:AWN655393 BGJ655380:BGJ655393 BQF655380:BQF655393 CAB655380:CAB655393 CJX655380:CJX655393 CTT655380:CTT655393 DDP655380:DDP655393 DNL655380:DNL655393 DXH655380:DXH655393 EHD655380:EHD655393 EQZ655380:EQZ655393 FAV655380:FAV655393 FKR655380:FKR655393 FUN655380:FUN655393 GEJ655380:GEJ655393 GOF655380:GOF655393 GYB655380:GYB655393 HHX655380:HHX655393 HRT655380:HRT655393 IBP655380:IBP655393 ILL655380:ILL655393 IVH655380:IVH655393 JFD655380:JFD655393 JOZ655380:JOZ655393 JYV655380:JYV655393 KIR655380:KIR655393 KSN655380:KSN655393 LCJ655380:LCJ655393 LMF655380:LMF655393 LWB655380:LWB655393 MFX655380:MFX655393 MPT655380:MPT655393 MZP655380:MZP655393 NJL655380:NJL655393 NTH655380:NTH655393 ODD655380:ODD655393 OMZ655380:OMZ655393 OWV655380:OWV655393 PGR655380:PGR655393 PQN655380:PQN655393 QAJ655380:QAJ655393 QKF655380:QKF655393 QUB655380:QUB655393 RDX655380:RDX655393 RNT655380:RNT655393 RXP655380:RXP655393 SHL655380:SHL655393 SRH655380:SRH655393 TBD655380:TBD655393 TKZ655380:TKZ655393 TUV655380:TUV655393 UER655380:UER655393 UON655380:UON655393 UYJ655380:UYJ655393 VIF655380:VIF655393 VSB655380:VSB655393 WBX655380:WBX655393 WLT655380:WLT655393 WVP655380:WVP655393 Q720916:Q720929 JD720916:JD720929 SZ720916:SZ720929 ACV720916:ACV720929 AMR720916:AMR720929 AWN720916:AWN720929 BGJ720916:BGJ720929 BQF720916:BQF720929 CAB720916:CAB720929 CJX720916:CJX720929 CTT720916:CTT720929 DDP720916:DDP720929 DNL720916:DNL720929 DXH720916:DXH720929 EHD720916:EHD720929 EQZ720916:EQZ720929 FAV720916:FAV720929 FKR720916:FKR720929 FUN720916:FUN720929 GEJ720916:GEJ720929 GOF720916:GOF720929 GYB720916:GYB720929 HHX720916:HHX720929 HRT720916:HRT720929 IBP720916:IBP720929 ILL720916:ILL720929 IVH720916:IVH720929 JFD720916:JFD720929 JOZ720916:JOZ720929 JYV720916:JYV720929 KIR720916:KIR720929 KSN720916:KSN720929 LCJ720916:LCJ720929 LMF720916:LMF720929 LWB720916:LWB720929 MFX720916:MFX720929 MPT720916:MPT720929 MZP720916:MZP720929 NJL720916:NJL720929 NTH720916:NTH720929 ODD720916:ODD720929 OMZ720916:OMZ720929 OWV720916:OWV720929 PGR720916:PGR720929 PQN720916:PQN720929 QAJ720916:QAJ720929 QKF720916:QKF720929 QUB720916:QUB720929 RDX720916:RDX720929 RNT720916:RNT720929 RXP720916:RXP720929 SHL720916:SHL720929 SRH720916:SRH720929 TBD720916:TBD720929 TKZ720916:TKZ720929 TUV720916:TUV720929 UER720916:UER720929 UON720916:UON720929 UYJ720916:UYJ720929 VIF720916:VIF720929 VSB720916:VSB720929 WBX720916:WBX720929 WLT720916:WLT720929 WVP720916:WVP720929 Q786452:Q786465 JD786452:JD786465 SZ786452:SZ786465 ACV786452:ACV786465 AMR786452:AMR786465 AWN786452:AWN786465 BGJ786452:BGJ786465 BQF786452:BQF786465 CAB786452:CAB786465 CJX786452:CJX786465 CTT786452:CTT786465 DDP786452:DDP786465 DNL786452:DNL786465 DXH786452:DXH786465 EHD786452:EHD786465 EQZ786452:EQZ786465 FAV786452:FAV786465 FKR786452:FKR786465 FUN786452:FUN786465 GEJ786452:GEJ786465 GOF786452:GOF786465 GYB786452:GYB786465 HHX786452:HHX786465 HRT786452:HRT786465 IBP786452:IBP786465 ILL786452:ILL786465 IVH786452:IVH786465 JFD786452:JFD786465 JOZ786452:JOZ786465 JYV786452:JYV786465 KIR786452:KIR786465 KSN786452:KSN786465 LCJ786452:LCJ786465 LMF786452:LMF786465 LWB786452:LWB786465 MFX786452:MFX786465 MPT786452:MPT786465 MZP786452:MZP786465 NJL786452:NJL786465 NTH786452:NTH786465 ODD786452:ODD786465 OMZ786452:OMZ786465 OWV786452:OWV786465 PGR786452:PGR786465 PQN786452:PQN786465 QAJ786452:QAJ786465 QKF786452:QKF786465 QUB786452:QUB786465 RDX786452:RDX786465 RNT786452:RNT786465 RXP786452:RXP786465 SHL786452:SHL786465 SRH786452:SRH786465 TBD786452:TBD786465 TKZ786452:TKZ786465 TUV786452:TUV786465 UER786452:UER786465 UON786452:UON786465 UYJ786452:UYJ786465 VIF786452:VIF786465 VSB786452:VSB786465 WBX786452:WBX786465 WLT786452:WLT786465 WVP786452:WVP786465 Q851988:Q852001 JD851988:JD852001 SZ851988:SZ852001 ACV851988:ACV852001 AMR851988:AMR852001 AWN851988:AWN852001 BGJ851988:BGJ852001 BQF851988:BQF852001 CAB851988:CAB852001 CJX851988:CJX852001 CTT851988:CTT852001 DDP851988:DDP852001 DNL851988:DNL852001 DXH851988:DXH852001 EHD851988:EHD852001 EQZ851988:EQZ852001 FAV851988:FAV852001 FKR851988:FKR852001 FUN851988:FUN852001 GEJ851988:GEJ852001 GOF851988:GOF852001 GYB851988:GYB852001 HHX851988:HHX852001 HRT851988:HRT852001 IBP851988:IBP852001 ILL851988:ILL852001 IVH851988:IVH852001 JFD851988:JFD852001 JOZ851988:JOZ852001 JYV851988:JYV852001 KIR851988:KIR852001 KSN851988:KSN852001 LCJ851988:LCJ852001 LMF851988:LMF852001 LWB851988:LWB852001 MFX851988:MFX852001 MPT851988:MPT852001 MZP851988:MZP852001 NJL851988:NJL852001 NTH851988:NTH852001 ODD851988:ODD852001 OMZ851988:OMZ852001 OWV851988:OWV852001 PGR851988:PGR852001 PQN851988:PQN852001 QAJ851988:QAJ852001 QKF851988:QKF852001 QUB851988:QUB852001 RDX851988:RDX852001 RNT851988:RNT852001 RXP851988:RXP852001 SHL851988:SHL852001 SRH851988:SRH852001 TBD851988:TBD852001 TKZ851988:TKZ852001 TUV851988:TUV852001 UER851988:UER852001 UON851988:UON852001 UYJ851988:UYJ852001 VIF851988:VIF852001 VSB851988:VSB852001 WBX851988:WBX852001 WLT851988:WLT852001 WVP851988:WVP852001 Q917524:Q917537 JD917524:JD917537 SZ917524:SZ917537 ACV917524:ACV917537 AMR917524:AMR917537 AWN917524:AWN917537 BGJ917524:BGJ917537 BQF917524:BQF917537 CAB917524:CAB917537 CJX917524:CJX917537 CTT917524:CTT917537 DDP917524:DDP917537 DNL917524:DNL917537 DXH917524:DXH917537 EHD917524:EHD917537 EQZ917524:EQZ917537 FAV917524:FAV917537 FKR917524:FKR917537 FUN917524:FUN917537 GEJ917524:GEJ917537 GOF917524:GOF917537 GYB917524:GYB917537 HHX917524:HHX917537 HRT917524:HRT917537 IBP917524:IBP917537 ILL917524:ILL917537 IVH917524:IVH917537 JFD917524:JFD917537 JOZ917524:JOZ917537 JYV917524:JYV917537 KIR917524:KIR917537 KSN917524:KSN917537 LCJ917524:LCJ917537 LMF917524:LMF917537 LWB917524:LWB917537 MFX917524:MFX917537 MPT917524:MPT917537 MZP917524:MZP917537 NJL917524:NJL917537 NTH917524:NTH917537 ODD917524:ODD917537 OMZ917524:OMZ917537 OWV917524:OWV917537 PGR917524:PGR917537 PQN917524:PQN917537 QAJ917524:QAJ917537 QKF917524:QKF917537 QUB917524:QUB917537 RDX917524:RDX917537 RNT917524:RNT917537 RXP917524:RXP917537 SHL917524:SHL917537 SRH917524:SRH917537 TBD917524:TBD917537 TKZ917524:TKZ917537 TUV917524:TUV917537 UER917524:UER917537 UON917524:UON917537 UYJ917524:UYJ917537 VIF917524:VIF917537 VSB917524:VSB917537 WBX917524:WBX917537 WLT917524:WLT917537 WVP917524:WVP917537 Q983060:Q983073 JD983060:JD983073 SZ983060:SZ983073 ACV983060:ACV983073 AMR983060:AMR983073 AWN983060:AWN983073 BGJ983060:BGJ983073 BQF983060:BQF983073 CAB983060:CAB983073 CJX983060:CJX983073 CTT983060:CTT983073 DDP983060:DDP983073 DNL983060:DNL983073 DXH983060:DXH983073 EHD983060:EHD983073 EQZ983060:EQZ983073 FAV983060:FAV983073 FKR983060:FKR983073 FUN983060:FUN983073 GEJ983060:GEJ983073 GOF983060:GOF983073 GYB983060:GYB983073 HHX983060:HHX983073 HRT983060:HRT983073 IBP983060:IBP983073 ILL983060:ILL983073 IVH983060:IVH983073 JFD983060:JFD983073 JOZ983060:JOZ983073 JYV983060:JYV983073 KIR983060:KIR983073 KSN983060:KSN983073 LCJ983060:LCJ983073 LMF983060:LMF983073 LWB983060:LWB983073 MFX983060:MFX983073 MPT983060:MPT983073 MZP983060:MZP983073 NJL983060:NJL983073 NTH983060:NTH983073 ODD983060:ODD983073 OMZ983060:OMZ983073 OWV983060:OWV983073 PGR983060:PGR983073 PQN983060:PQN983073 QAJ983060:QAJ983073 QKF983060:QKF983073 QUB983060:QUB983073 RDX983060:RDX983073 RNT983060:RNT983073 RXP983060:RXP983073 SHL983060:SHL983073 SRH983060:SRH983073 TBD983060:TBD983073 TKZ983060:TKZ983073 TUV983060:TUV983073 UER983060:UER983073 UON983060:UON983073 UYJ983060:UYJ983073 VIF983060:VIF983073 VSB983060:VSB983073 WBX983060:WBX983073 WLT983060:WLT983073 Q20:Q36">
      <formula1>#REF!</formula1>
    </dataValidation>
    <dataValidation type="list" allowBlank="1" showInputMessage="1" showErrorMessage="1" sqref="WVB983059 WLF983059 WBJ983059 VRN983059 VHR983059 UXV983059 UNZ983059 UED983059 TUH983059 TKL983059 TAP983059 SQT983059 SGX983059 RXB983059 RNF983059 RDJ983059 QTN983059 QJR983059 PZV983059 PPZ983059 PGD983059 OWH983059 OML983059 OCP983059 NST983059 NIX983059 MZB983059 MPF983059 MFJ983059 LVN983059 LLR983059 LBV983059 KRZ983059 KID983059 JYH983059 JOL983059 JEP983059 IUT983059 IKX983059 IBB983059 HRF983059 HHJ983059 GXN983059 GNR983059 GDV983059 FTZ983059 FKD983059 FAH983059 EQL983059 EGP983059 DWT983059 DMX983059 DDB983059 CTF983059 CJJ983059 BZN983059 BPR983059 BFV983059 AVZ983059 AMD983059 ACH983059 SL983059 IP983059 C983059 WVB917523 WLF917523 WBJ917523 VRN917523 VHR917523 UXV917523 UNZ917523 UED917523 TUH917523 TKL917523 TAP917523 SQT917523 SGX917523 RXB917523 RNF917523 RDJ917523 QTN917523 QJR917523 PZV917523 PPZ917523 PGD917523 OWH917523 OML917523 OCP917523 NST917523 NIX917523 MZB917523 MPF917523 MFJ917523 LVN917523 LLR917523 LBV917523 KRZ917523 KID917523 JYH917523 JOL917523 JEP917523 IUT917523 IKX917523 IBB917523 HRF917523 HHJ917523 GXN917523 GNR917523 GDV917523 FTZ917523 FKD917523 FAH917523 EQL917523 EGP917523 DWT917523 DMX917523 DDB917523 CTF917523 CJJ917523 BZN917523 BPR917523 BFV917523 AVZ917523 AMD917523 ACH917523 SL917523 IP917523 C917523 WVB851987 WLF851987 WBJ851987 VRN851987 VHR851987 UXV851987 UNZ851987 UED851987 TUH851987 TKL851987 TAP851987 SQT851987 SGX851987 RXB851987 RNF851987 RDJ851987 QTN851987 QJR851987 PZV851987 PPZ851987 PGD851987 OWH851987 OML851987 OCP851987 NST851987 NIX851987 MZB851987 MPF851987 MFJ851987 LVN851987 LLR851987 LBV851987 KRZ851987 KID851987 JYH851987 JOL851987 JEP851987 IUT851987 IKX851987 IBB851987 HRF851987 HHJ851987 GXN851987 GNR851987 GDV851987 FTZ851987 FKD851987 FAH851987 EQL851987 EGP851987 DWT851987 DMX851987 DDB851987 CTF851987 CJJ851987 BZN851987 BPR851987 BFV851987 AVZ851987 AMD851987 ACH851987 SL851987 IP851987 C851987 WVB786451 WLF786451 WBJ786451 VRN786451 VHR786451 UXV786451 UNZ786451 UED786451 TUH786451 TKL786451 TAP786451 SQT786451 SGX786451 RXB786451 RNF786451 RDJ786451 QTN786451 QJR786451 PZV786451 PPZ786451 PGD786451 OWH786451 OML786451 OCP786451 NST786451 NIX786451 MZB786451 MPF786451 MFJ786451 LVN786451 LLR786451 LBV786451 KRZ786451 KID786451 JYH786451 JOL786451 JEP786451 IUT786451 IKX786451 IBB786451 HRF786451 HHJ786451 GXN786451 GNR786451 GDV786451 FTZ786451 FKD786451 FAH786451 EQL786451 EGP786451 DWT786451 DMX786451 DDB786451 CTF786451 CJJ786451 BZN786451 BPR786451 BFV786451 AVZ786451 AMD786451 ACH786451 SL786451 IP786451 C786451 WVB720915 WLF720915 WBJ720915 VRN720915 VHR720915 UXV720915 UNZ720915 UED720915 TUH720915 TKL720915 TAP720915 SQT720915 SGX720915 RXB720915 RNF720915 RDJ720915 QTN720915 QJR720915 PZV720915 PPZ720915 PGD720915 OWH720915 OML720915 OCP720915 NST720915 NIX720915 MZB720915 MPF720915 MFJ720915 LVN720915 LLR720915 LBV720915 KRZ720915 KID720915 JYH720915 JOL720915 JEP720915 IUT720915 IKX720915 IBB720915 HRF720915 HHJ720915 GXN720915 GNR720915 GDV720915 FTZ720915 FKD720915 FAH720915 EQL720915 EGP720915 DWT720915 DMX720915 DDB720915 CTF720915 CJJ720915 BZN720915 BPR720915 BFV720915 AVZ720915 AMD720915 ACH720915 SL720915 IP720915 C720915 WVB655379 WLF655379 WBJ655379 VRN655379 VHR655379 UXV655379 UNZ655379 UED655379 TUH655379 TKL655379 TAP655379 SQT655379 SGX655379 RXB655379 RNF655379 RDJ655379 QTN655379 QJR655379 PZV655379 PPZ655379 PGD655379 OWH655379 OML655379 OCP655379 NST655379 NIX655379 MZB655379 MPF655379 MFJ655379 LVN655379 LLR655379 LBV655379 KRZ655379 KID655379 JYH655379 JOL655379 JEP655379 IUT655379 IKX655379 IBB655379 HRF655379 HHJ655379 GXN655379 GNR655379 GDV655379 FTZ655379 FKD655379 FAH655379 EQL655379 EGP655379 DWT655379 DMX655379 DDB655379 CTF655379 CJJ655379 BZN655379 BPR655379 BFV655379 AVZ655379 AMD655379 ACH655379 SL655379 IP655379 C655379 WVB589843 WLF589843 WBJ589843 VRN589843 VHR589843 UXV589843 UNZ589843 UED589843 TUH589843 TKL589843 TAP589843 SQT589843 SGX589843 RXB589843 RNF589843 RDJ589843 QTN589843 QJR589843 PZV589843 PPZ589843 PGD589843 OWH589843 OML589843 OCP589843 NST589843 NIX589843 MZB589843 MPF589843 MFJ589843 LVN589843 LLR589843 LBV589843 KRZ589843 KID589843 JYH589843 JOL589843 JEP589843 IUT589843 IKX589843 IBB589843 HRF589843 HHJ589843 GXN589843 GNR589843 GDV589843 FTZ589843 FKD589843 FAH589843 EQL589843 EGP589843 DWT589843 DMX589843 DDB589843 CTF589843 CJJ589843 BZN589843 BPR589843 BFV589843 AVZ589843 AMD589843 ACH589843 SL589843 IP589843 C589843 WVB524307 WLF524307 WBJ524307 VRN524307 VHR524307 UXV524307 UNZ524307 UED524307 TUH524307 TKL524307 TAP524307 SQT524307 SGX524307 RXB524307 RNF524307 RDJ524307 QTN524307 QJR524307 PZV524307 PPZ524307 PGD524307 OWH524307 OML524307 OCP524307 NST524307 NIX524307 MZB524307 MPF524307 MFJ524307 LVN524307 LLR524307 LBV524307 KRZ524307 KID524307 JYH524307 JOL524307 JEP524307 IUT524307 IKX524307 IBB524307 HRF524307 HHJ524307 GXN524307 GNR524307 GDV524307 FTZ524307 FKD524307 FAH524307 EQL524307 EGP524307 DWT524307 DMX524307 DDB524307 CTF524307 CJJ524307 BZN524307 BPR524307 BFV524307 AVZ524307 AMD524307 ACH524307 SL524307 IP524307 C524307 WVB458771 WLF458771 WBJ458771 VRN458771 VHR458771 UXV458771 UNZ458771 UED458771 TUH458771 TKL458771 TAP458771 SQT458771 SGX458771 RXB458771 RNF458771 RDJ458771 QTN458771 QJR458771 PZV458771 PPZ458771 PGD458771 OWH458771 OML458771 OCP458771 NST458771 NIX458771 MZB458771 MPF458771 MFJ458771 LVN458771 LLR458771 LBV458771 KRZ458771 KID458771 JYH458771 JOL458771 JEP458771 IUT458771 IKX458771 IBB458771 HRF458771 HHJ458771 GXN458771 GNR458771 GDV458771 FTZ458771 FKD458771 FAH458771 EQL458771 EGP458771 DWT458771 DMX458771 DDB458771 CTF458771 CJJ458771 BZN458771 BPR458771 BFV458771 AVZ458771 AMD458771 ACH458771 SL458771 IP458771 C458771 WVB393235 WLF393235 WBJ393235 VRN393235 VHR393235 UXV393235 UNZ393235 UED393235 TUH393235 TKL393235 TAP393235 SQT393235 SGX393235 RXB393235 RNF393235 RDJ393235 QTN393235 QJR393235 PZV393235 PPZ393235 PGD393235 OWH393235 OML393235 OCP393235 NST393235 NIX393235 MZB393235 MPF393235 MFJ393235 LVN393235 LLR393235 LBV393235 KRZ393235 KID393235 JYH393235 JOL393235 JEP393235 IUT393235 IKX393235 IBB393235 HRF393235 HHJ393235 GXN393235 GNR393235 GDV393235 FTZ393235 FKD393235 FAH393235 EQL393235 EGP393235 DWT393235 DMX393235 DDB393235 CTF393235 CJJ393235 BZN393235 BPR393235 BFV393235 AVZ393235 AMD393235 ACH393235 SL393235 IP393235 C393235 WVB327699 WLF327699 WBJ327699 VRN327699 VHR327699 UXV327699 UNZ327699 UED327699 TUH327699 TKL327699 TAP327699 SQT327699 SGX327699 RXB327699 RNF327699 RDJ327699 QTN327699 QJR327699 PZV327699 PPZ327699 PGD327699 OWH327699 OML327699 OCP327699 NST327699 NIX327699 MZB327699 MPF327699 MFJ327699 LVN327699 LLR327699 LBV327699 KRZ327699 KID327699 JYH327699 JOL327699 JEP327699 IUT327699 IKX327699 IBB327699 HRF327699 HHJ327699 GXN327699 GNR327699 GDV327699 FTZ327699 FKD327699 FAH327699 EQL327699 EGP327699 DWT327699 DMX327699 DDB327699 CTF327699 CJJ327699 BZN327699 BPR327699 BFV327699 AVZ327699 AMD327699 ACH327699 SL327699 IP327699 C327699 WVB262163 WLF262163 WBJ262163 VRN262163 VHR262163 UXV262163 UNZ262163 UED262163 TUH262163 TKL262163 TAP262163 SQT262163 SGX262163 RXB262163 RNF262163 RDJ262163 QTN262163 QJR262163 PZV262163 PPZ262163 PGD262163 OWH262163 OML262163 OCP262163 NST262163 NIX262163 MZB262163 MPF262163 MFJ262163 LVN262163 LLR262163 LBV262163 KRZ262163 KID262163 JYH262163 JOL262163 JEP262163 IUT262163 IKX262163 IBB262163 HRF262163 HHJ262163 GXN262163 GNR262163 GDV262163 FTZ262163 FKD262163 FAH262163 EQL262163 EGP262163 DWT262163 DMX262163 DDB262163 CTF262163 CJJ262163 BZN262163 BPR262163 BFV262163 AVZ262163 AMD262163 ACH262163 SL262163 IP262163 C262163 WVB196627 WLF196627 WBJ196627 VRN196627 VHR196627 UXV196627 UNZ196627 UED196627 TUH196627 TKL196627 TAP196627 SQT196627 SGX196627 RXB196627 RNF196627 RDJ196627 QTN196627 QJR196627 PZV196627 PPZ196627 PGD196627 OWH196627 OML196627 OCP196627 NST196627 NIX196627 MZB196627 MPF196627 MFJ196627 LVN196627 LLR196627 LBV196627 KRZ196627 KID196627 JYH196627 JOL196627 JEP196627 IUT196627 IKX196627 IBB196627 HRF196627 HHJ196627 GXN196627 GNR196627 GDV196627 FTZ196627 FKD196627 FAH196627 EQL196627 EGP196627 DWT196627 DMX196627 DDB196627 CTF196627 CJJ196627 BZN196627 BPR196627 BFV196627 AVZ196627 AMD196627 ACH196627 SL196627 IP196627 C196627 WVB131091 WLF131091 WBJ131091 VRN131091 VHR131091 UXV131091 UNZ131091 UED131091 TUH131091 TKL131091 TAP131091 SQT131091 SGX131091 RXB131091 RNF131091 RDJ131091 QTN131091 QJR131091 PZV131091 PPZ131091 PGD131091 OWH131091 OML131091 OCP131091 NST131091 NIX131091 MZB131091 MPF131091 MFJ131091 LVN131091 LLR131091 LBV131091 KRZ131091 KID131091 JYH131091 JOL131091 JEP131091 IUT131091 IKX131091 IBB131091 HRF131091 HHJ131091 GXN131091 GNR131091 GDV131091 FTZ131091 FKD131091 FAH131091 EQL131091 EGP131091 DWT131091 DMX131091 DDB131091 CTF131091 CJJ131091 BZN131091 BPR131091 BFV131091 AVZ131091 AMD131091 ACH131091 SL131091 IP131091 C131091 WVB65555 WLF65555 WBJ65555 VRN65555 VHR65555 UXV65555 UNZ65555 UED65555 TUH65555 TKL65555 TAP65555 SQT65555 SGX65555 RXB65555 RNF65555 RDJ65555 QTN65555 QJR65555 PZV65555 PPZ65555 PGD65555 OWH65555 OML65555 OCP65555 NST65555 NIX65555 MZB65555 MPF65555 MFJ65555 LVN65555 LLR65555 LBV65555 KRZ65555 KID65555 JYH65555 JOL65555 JEP65555 IUT65555 IKX65555 IBB65555 HRF65555 HHJ65555 GXN65555 GNR65555 GDV65555 FTZ65555 FKD65555 FAH65555 EQL65555 EGP65555 DWT65555 DMX65555 DDB65555 CTF65555 CJJ65555 BZN65555 BPR65555 BFV65555 AVZ65555 AMD65555 ACH65555 SL65555 IP65555 C65555 WVB19 WLF19 WBJ19 VRN19 VHR19 UXV19 UNZ19 UED19 TUH19 TKL19 TAP19 SQT19 SGX19 RXB19 RNF19 RDJ19 QTN19 QJR19 PZV19 PPZ19 PGD19 OWH19 OML19 OCP19 NST19 NIX19 MZB19 MPF19 MFJ19 LVN19 LLR19 LBV19 KRZ19 KID19 JYH19 JOL19 JEP19 IUT19 IKX19 IBB19 HRF19 HHJ19 GXN19 GNR19 GDV19 FTZ19 FKD19 FAH19 EQL19 EGP19 DWT19 DMX19 DDB19 CTF19 CJJ19 BZN19 BPR19 BFV19 AVZ19 AMD19 ACH19 SL19 IP19 C19 WVF983057 WLJ983057 WBN983057 VRR983057 VHV983057 UXZ983057 UOD983057 UEH983057 TUL983057 TKP983057 TAT983057 SQX983057 SHB983057 RXF983057 RNJ983057 RDN983057 QTR983057 QJV983057 PZZ983057 PQD983057 PGH983057 OWL983057 OMP983057 OCT983057 NSX983057 NJB983057 MZF983057 MPJ983057 MFN983057 LVR983057 LLV983057 LBZ983057 KSD983057 KIH983057 JYL983057 JOP983057 JET983057 IUX983057 ILB983057 IBF983057 HRJ983057 HHN983057 GXR983057 GNV983057 GDZ983057 FUD983057 FKH983057 FAL983057 EQP983057 EGT983057 DWX983057 DNB983057 DDF983057 CTJ983057 CJN983057 BZR983057 BPV983057 BFZ983057 AWD983057 AMH983057 ACL983057 SP983057 IT983057 G983057 WVF917521 WLJ917521 WBN917521 VRR917521 VHV917521 UXZ917521 UOD917521 UEH917521 TUL917521 TKP917521 TAT917521 SQX917521 SHB917521 RXF917521 RNJ917521 RDN917521 QTR917521 QJV917521 PZZ917521 PQD917521 PGH917521 OWL917521 OMP917521 OCT917521 NSX917521 NJB917521 MZF917521 MPJ917521 MFN917521 LVR917521 LLV917521 LBZ917521 KSD917521 KIH917521 JYL917521 JOP917521 JET917521 IUX917521 ILB917521 IBF917521 HRJ917521 HHN917521 GXR917521 GNV917521 GDZ917521 FUD917521 FKH917521 FAL917521 EQP917521 EGT917521 DWX917521 DNB917521 DDF917521 CTJ917521 CJN917521 BZR917521 BPV917521 BFZ917521 AWD917521 AMH917521 ACL917521 SP917521 IT917521 G917521 WVF851985 WLJ851985 WBN851985 VRR851985 VHV851985 UXZ851985 UOD851985 UEH851985 TUL851985 TKP851985 TAT851985 SQX851985 SHB851985 RXF851985 RNJ851985 RDN851985 QTR851985 QJV851985 PZZ851985 PQD851985 PGH851985 OWL851985 OMP851985 OCT851985 NSX851985 NJB851985 MZF851985 MPJ851985 MFN851985 LVR851985 LLV851985 LBZ851985 KSD851985 KIH851985 JYL851985 JOP851985 JET851985 IUX851985 ILB851985 IBF851985 HRJ851985 HHN851985 GXR851985 GNV851985 GDZ851985 FUD851985 FKH851985 FAL851985 EQP851985 EGT851985 DWX851985 DNB851985 DDF851985 CTJ851985 CJN851985 BZR851985 BPV851985 BFZ851985 AWD851985 AMH851985 ACL851985 SP851985 IT851985 G851985 WVF786449 WLJ786449 WBN786449 VRR786449 VHV786449 UXZ786449 UOD786449 UEH786449 TUL786449 TKP786449 TAT786449 SQX786449 SHB786449 RXF786449 RNJ786449 RDN786449 QTR786449 QJV786449 PZZ786449 PQD786449 PGH786449 OWL786449 OMP786449 OCT786449 NSX786449 NJB786449 MZF786449 MPJ786449 MFN786449 LVR786449 LLV786449 LBZ786449 KSD786449 KIH786449 JYL786449 JOP786449 JET786449 IUX786449 ILB786449 IBF786449 HRJ786449 HHN786449 GXR786449 GNV786449 GDZ786449 FUD786449 FKH786449 FAL786449 EQP786449 EGT786449 DWX786449 DNB786449 DDF786449 CTJ786449 CJN786449 BZR786449 BPV786449 BFZ786449 AWD786449 AMH786449 ACL786449 SP786449 IT786449 G786449 WVF720913 WLJ720913 WBN720913 VRR720913 VHV720913 UXZ720913 UOD720913 UEH720913 TUL720913 TKP720913 TAT720913 SQX720913 SHB720913 RXF720913 RNJ720913 RDN720913 QTR720913 QJV720913 PZZ720913 PQD720913 PGH720913 OWL720913 OMP720913 OCT720913 NSX720913 NJB720913 MZF720913 MPJ720913 MFN720913 LVR720913 LLV720913 LBZ720913 KSD720913 KIH720913 JYL720913 JOP720913 JET720913 IUX720913 ILB720913 IBF720913 HRJ720913 HHN720913 GXR720913 GNV720913 GDZ720913 FUD720913 FKH720913 FAL720913 EQP720913 EGT720913 DWX720913 DNB720913 DDF720913 CTJ720913 CJN720913 BZR720913 BPV720913 BFZ720913 AWD720913 AMH720913 ACL720913 SP720913 IT720913 G720913 WVF655377 WLJ655377 WBN655377 VRR655377 VHV655377 UXZ655377 UOD655377 UEH655377 TUL655377 TKP655377 TAT655377 SQX655377 SHB655377 RXF655377 RNJ655377 RDN655377 QTR655377 QJV655377 PZZ655377 PQD655377 PGH655377 OWL655377 OMP655377 OCT655377 NSX655377 NJB655377 MZF655377 MPJ655377 MFN655377 LVR655377 LLV655377 LBZ655377 KSD655377 KIH655377 JYL655377 JOP655377 JET655377 IUX655377 ILB655377 IBF655377 HRJ655377 HHN655377 GXR655377 GNV655377 GDZ655377 FUD655377 FKH655377 FAL655377 EQP655377 EGT655377 DWX655377 DNB655377 DDF655377 CTJ655377 CJN655377 BZR655377 BPV655377 BFZ655377 AWD655377 AMH655377 ACL655377 SP655377 IT655377 G655377 WVF589841 WLJ589841 WBN589841 VRR589841 VHV589841 UXZ589841 UOD589841 UEH589841 TUL589841 TKP589841 TAT589841 SQX589841 SHB589841 RXF589841 RNJ589841 RDN589841 QTR589841 QJV589841 PZZ589841 PQD589841 PGH589841 OWL589841 OMP589841 OCT589841 NSX589841 NJB589841 MZF589841 MPJ589841 MFN589841 LVR589841 LLV589841 LBZ589841 KSD589841 KIH589841 JYL589841 JOP589841 JET589841 IUX589841 ILB589841 IBF589841 HRJ589841 HHN589841 GXR589841 GNV589841 GDZ589841 FUD589841 FKH589841 FAL589841 EQP589841 EGT589841 DWX589841 DNB589841 DDF589841 CTJ589841 CJN589841 BZR589841 BPV589841 BFZ589841 AWD589841 AMH589841 ACL589841 SP589841 IT589841 G589841 WVF524305 WLJ524305 WBN524305 VRR524305 VHV524305 UXZ524305 UOD524305 UEH524305 TUL524305 TKP524305 TAT524305 SQX524305 SHB524305 RXF524305 RNJ524305 RDN524305 QTR524305 QJV524305 PZZ524305 PQD524305 PGH524305 OWL524305 OMP524305 OCT524305 NSX524305 NJB524305 MZF524305 MPJ524305 MFN524305 LVR524305 LLV524305 LBZ524305 KSD524305 KIH524305 JYL524305 JOP524305 JET524305 IUX524305 ILB524305 IBF524305 HRJ524305 HHN524305 GXR524305 GNV524305 GDZ524305 FUD524305 FKH524305 FAL524305 EQP524305 EGT524305 DWX524305 DNB524305 DDF524305 CTJ524305 CJN524305 BZR524305 BPV524305 BFZ524305 AWD524305 AMH524305 ACL524305 SP524305 IT524305 G524305 WVF458769 WLJ458769 WBN458769 VRR458769 VHV458769 UXZ458769 UOD458769 UEH458769 TUL458769 TKP458769 TAT458769 SQX458769 SHB458769 RXF458769 RNJ458769 RDN458769 QTR458769 QJV458769 PZZ458769 PQD458769 PGH458769 OWL458769 OMP458769 OCT458769 NSX458769 NJB458769 MZF458769 MPJ458769 MFN458769 LVR458769 LLV458769 LBZ458769 KSD458769 KIH458769 JYL458769 JOP458769 JET458769 IUX458769 ILB458769 IBF458769 HRJ458769 HHN458769 GXR458769 GNV458769 GDZ458769 FUD458769 FKH458769 FAL458769 EQP458769 EGT458769 DWX458769 DNB458769 DDF458769 CTJ458769 CJN458769 BZR458769 BPV458769 BFZ458769 AWD458769 AMH458769 ACL458769 SP458769 IT458769 G458769 WVF393233 WLJ393233 WBN393233 VRR393233 VHV393233 UXZ393233 UOD393233 UEH393233 TUL393233 TKP393233 TAT393233 SQX393233 SHB393233 RXF393233 RNJ393233 RDN393233 QTR393233 QJV393233 PZZ393233 PQD393233 PGH393233 OWL393233 OMP393233 OCT393233 NSX393233 NJB393233 MZF393233 MPJ393233 MFN393233 LVR393233 LLV393233 LBZ393233 KSD393233 KIH393233 JYL393233 JOP393233 JET393233 IUX393233 ILB393233 IBF393233 HRJ393233 HHN393233 GXR393233 GNV393233 GDZ393233 FUD393233 FKH393233 FAL393233 EQP393233 EGT393233 DWX393233 DNB393233 DDF393233 CTJ393233 CJN393233 BZR393233 BPV393233 BFZ393233 AWD393233 AMH393233 ACL393233 SP393233 IT393233 G393233 WVF327697 WLJ327697 WBN327697 VRR327697 VHV327697 UXZ327697 UOD327697 UEH327697 TUL327697 TKP327697 TAT327697 SQX327697 SHB327697 RXF327697 RNJ327697 RDN327697 QTR327697 QJV327697 PZZ327697 PQD327697 PGH327697 OWL327697 OMP327697 OCT327697 NSX327697 NJB327697 MZF327697 MPJ327697 MFN327697 LVR327697 LLV327697 LBZ327697 KSD327697 KIH327697 JYL327697 JOP327697 JET327697 IUX327697 ILB327697 IBF327697 HRJ327697 HHN327697 GXR327697 GNV327697 GDZ327697 FUD327697 FKH327697 FAL327697 EQP327697 EGT327697 DWX327697 DNB327697 DDF327697 CTJ327697 CJN327697 BZR327697 BPV327697 BFZ327697 AWD327697 AMH327697 ACL327697 SP327697 IT327697 G327697 WVF262161 WLJ262161 WBN262161 VRR262161 VHV262161 UXZ262161 UOD262161 UEH262161 TUL262161 TKP262161 TAT262161 SQX262161 SHB262161 RXF262161 RNJ262161 RDN262161 QTR262161 QJV262161 PZZ262161 PQD262161 PGH262161 OWL262161 OMP262161 OCT262161 NSX262161 NJB262161 MZF262161 MPJ262161 MFN262161 LVR262161 LLV262161 LBZ262161 KSD262161 KIH262161 JYL262161 JOP262161 JET262161 IUX262161 ILB262161 IBF262161 HRJ262161 HHN262161 GXR262161 GNV262161 GDZ262161 FUD262161 FKH262161 FAL262161 EQP262161 EGT262161 DWX262161 DNB262161 DDF262161 CTJ262161 CJN262161 BZR262161 BPV262161 BFZ262161 AWD262161 AMH262161 ACL262161 SP262161 IT262161 G262161 WVF196625 WLJ196625 WBN196625 VRR196625 VHV196625 UXZ196625 UOD196625 UEH196625 TUL196625 TKP196625 TAT196625 SQX196625 SHB196625 RXF196625 RNJ196625 RDN196625 QTR196625 QJV196625 PZZ196625 PQD196625 PGH196625 OWL196625 OMP196625 OCT196625 NSX196625 NJB196625 MZF196625 MPJ196625 MFN196625 LVR196625 LLV196625 LBZ196625 KSD196625 KIH196625 JYL196625 JOP196625 JET196625 IUX196625 ILB196625 IBF196625 HRJ196625 HHN196625 GXR196625 GNV196625 GDZ196625 FUD196625 FKH196625 FAL196625 EQP196625 EGT196625 DWX196625 DNB196625 DDF196625 CTJ196625 CJN196625 BZR196625 BPV196625 BFZ196625 AWD196625 AMH196625 ACL196625 SP196625 IT196625 G196625 WVF131089 WLJ131089 WBN131089 VRR131089 VHV131089 UXZ131089 UOD131089 UEH131089 TUL131089 TKP131089 TAT131089 SQX131089 SHB131089 RXF131089 RNJ131089 RDN131089 QTR131089 QJV131089 PZZ131089 PQD131089 PGH131089 OWL131089 OMP131089 OCT131089 NSX131089 NJB131089 MZF131089 MPJ131089 MFN131089 LVR131089 LLV131089 LBZ131089 KSD131089 KIH131089 JYL131089 JOP131089 JET131089 IUX131089 ILB131089 IBF131089 HRJ131089 HHN131089 GXR131089 GNV131089 GDZ131089 FUD131089 FKH131089 FAL131089 EQP131089 EGT131089 DWX131089 DNB131089 DDF131089 CTJ131089 CJN131089 BZR131089 BPV131089 BFZ131089 AWD131089 AMH131089 ACL131089 SP131089 IT131089 G131089 WVF65553 WLJ65553 WBN65553 VRR65553 VHV65553 UXZ65553 UOD65553 UEH65553 TUL65553 TKP65553 TAT65553 SQX65553 SHB65553 RXF65553 RNJ65553 RDN65553 QTR65553 QJV65553 PZZ65553 PQD65553 PGH65553 OWL65553 OMP65553 OCT65553 NSX65553 NJB65553 MZF65553 MPJ65553 MFN65553 LVR65553 LLV65553 LBZ65553 KSD65553 KIH65553 JYL65553 JOP65553 JET65553 IUX65553 ILB65553 IBF65553 HRJ65553 HHN65553 GXR65553 GNV65553 GDZ65553 FUD65553 FKH65553 FAL65553 EQP65553 EGT65553 DWX65553 DNB65553 DDF65553 CTJ65553 CJN65553 BZR65553 BPV65553 BFZ65553 AWD65553 AMH65553 ACL65553 SP65553 IT65553 G65553 WVF17 WLJ17 WBN17 VRR17 VHV17 UXZ17 UOD17 UEH17 TUL17 TKP17 TAT17 SQX17 SHB17 RXF17 RNJ17 RDN17 QTR17 QJV17 PZZ17 PQD17 PGH17 OWL17 OMP17 OCT17 NSX17 NJB17 MZF17 MPJ17 MFN17 LVR17 LLV17 LBZ17 KSD17 KIH17 JYL17 JOP17 JET17 IUX17 ILB17 IBF17 HRJ17 HHN17 GXR17 GNV17 GDZ17 FUD17 FKH17 FAL17 EQP17 EGT17 DWX17 DNB17 DDF17 CTJ17 CJN17 BZR17 BPV17 BFZ17 AWD17 AMH17 ACL17 SP17 IT17">
      <formula1>$U$11:$U$12</formula1>
    </dataValidation>
  </dataValidations>
  <pageMargins left="0.7" right="0.7" top="0.75" bottom="0.75" header="0.3" footer="0.3"/>
  <pageSetup paperSize="9" scale="35" orientation="landscape"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 (2)</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USER</cp:lastModifiedBy>
  <cp:lastPrinted>2020-12-24T06:35:37Z</cp:lastPrinted>
  <dcterms:created xsi:type="dcterms:W3CDTF">2020-12-11T14:47:01Z</dcterms:created>
  <dcterms:modified xsi:type="dcterms:W3CDTF">2021-02-02T06:19:06Z</dcterms:modified>
</cp:coreProperties>
</file>