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638" windowWidth="20715" windowHeight="13875"/>
  </bookViews>
  <sheets>
    <sheet name="edited" sheetId="20" r:id="rId1"/>
  </sheets>
  <definedNames>
    <definedName name="_xlnm._FilterDatabase" localSheetId="0" hidden="1">edited!$A$9:$I$11</definedName>
    <definedName name="_xlnm.Print_Area" localSheetId="0">edited!#REF!</definedName>
    <definedName name="_xlnm.Print_Titles" localSheetId="0">#REF!</definedName>
    <definedName name="_xlnm.Print_Titles">#REF!</definedName>
  </definedNames>
  <calcPr calcId="124519"/>
  <fileRecoveryPr repairLoad="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20"/>
  <c r="I19"/>
  <c r="H16"/>
  <c r="H20" s="1"/>
  <c r="G16"/>
  <c r="G20" s="1"/>
  <c r="F16"/>
  <c r="F20" s="1"/>
  <c r="E16"/>
  <c r="E20" s="1"/>
  <c r="D16"/>
  <c r="H12"/>
  <c r="G12"/>
  <c r="F12"/>
  <c r="E12"/>
  <c r="D12"/>
  <c r="F22" l="1"/>
  <c r="G22"/>
  <c r="I12"/>
  <c r="I16"/>
  <c r="E22"/>
  <c r="H22"/>
  <c r="D20"/>
  <c r="D22" s="1"/>
  <c r="I22" s="1"/>
  <c r="I20"/>
  <c r="I11" l="1"/>
  <c r="I10"/>
</calcChain>
</file>

<file path=xl/sharedStrings.xml><?xml version="1.0" encoding="utf-8"?>
<sst xmlns="http://schemas.openxmlformats.org/spreadsheetml/2006/main" count="37" uniqueCount="35">
  <si>
    <t>SCHOOLS</t>
  </si>
  <si>
    <t>WV020</t>
  </si>
  <si>
    <t>WB080</t>
  </si>
  <si>
    <t>WC 157</t>
  </si>
  <si>
    <t>WC 640</t>
  </si>
  <si>
    <t>5% Goods</t>
  </si>
  <si>
    <t>5% Services</t>
  </si>
  <si>
    <t xml:space="preserve"> WV010 </t>
  </si>
  <si>
    <t>Indahag ES</t>
  </si>
  <si>
    <r>
      <t xml:space="preserve">For the Month of </t>
    </r>
    <r>
      <rPr>
        <b/>
        <u/>
        <sz val="11"/>
        <color theme="1"/>
        <rFont val="Arial Narrow"/>
        <family val="2"/>
      </rPr>
      <t>November 2020</t>
    </r>
  </si>
  <si>
    <t>1600 (BIR Form 2306)</t>
  </si>
  <si>
    <t>1601E (BIR Form 2307)</t>
  </si>
  <si>
    <t>Prepared by:</t>
  </si>
  <si>
    <t>Certified Correct:</t>
  </si>
  <si>
    <t>NAME OF SCHOOL</t>
  </si>
  <si>
    <t>TOTAL TAXES  WITHHELD</t>
  </si>
  <si>
    <t>DIVISION OF CAGAYAN DE ORO CITY</t>
  </si>
  <si>
    <t xml:space="preserve">CONSOLIDATED SUMMARY OF TAXES WITHHELD </t>
  </si>
  <si>
    <t>SCHOOL ID</t>
  </si>
  <si>
    <t>Elementary Schools</t>
  </si>
  <si>
    <t>Agusan ES</t>
  </si>
  <si>
    <t>Agusan NHS</t>
  </si>
  <si>
    <t>Senior High School</t>
  </si>
  <si>
    <t>Junior High School (Non-Ius)</t>
  </si>
  <si>
    <t>Total JHS</t>
  </si>
  <si>
    <t>Total SHS</t>
  </si>
  <si>
    <t>GRAND TOTAL</t>
  </si>
  <si>
    <t>Total Elementary</t>
  </si>
  <si>
    <t>Noted by:</t>
  </si>
  <si>
    <t>MITOS TESSA B. DUETES</t>
  </si>
  <si>
    <t>ARNEL A. CALUBAG, CPA, MBA</t>
  </si>
  <si>
    <t>Administrative Assistant III</t>
  </si>
  <si>
    <t>Accountant III</t>
  </si>
  <si>
    <t>Schools Division Superintendent</t>
  </si>
  <si>
    <t>CHERRY MAE L. LIMBACO-REYES</t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</si>
</sst>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"/>
      <name val="Arial Narrow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Arial Narrow"/>
      <family val="2"/>
    </font>
    <font>
      <b/>
      <sz val="14"/>
      <color theme="1"/>
      <name val="Arial Narrow"/>
      <family val="2"/>
    </font>
    <font>
      <b/>
      <sz val="10"/>
      <name val="Arial Narrow"/>
      <family val="2"/>
    </font>
    <font>
      <b/>
      <u/>
      <sz val="1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7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7" fillId="0" borderId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 applyFill="1"/>
    <xf numFmtId="0" fontId="1" fillId="0" borderId="0" xfId="0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9" fontId="2" fillId="5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64" fontId="1" fillId="0" borderId="0" xfId="1" applyFont="1" applyFill="1" applyBorder="1"/>
    <xf numFmtId="164" fontId="1" fillId="0" borderId="0" xfId="1" applyFont="1" applyFill="1"/>
    <xf numFmtId="164" fontId="1" fillId="0" borderId="0" xfId="1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9" fontId="2" fillId="3" borderId="0" xfId="1" applyNumberFormat="1" applyFont="1" applyFill="1" applyBorder="1" applyAlignment="1">
      <alignment horizontal="center"/>
    </xf>
    <xf numFmtId="164" fontId="2" fillId="3" borderId="0" xfId="1" applyFont="1" applyFill="1" applyBorder="1" applyAlignment="1">
      <alignment horizontal="center"/>
    </xf>
    <xf numFmtId="164" fontId="2" fillId="4" borderId="10" xfId="1" applyFont="1" applyFill="1" applyBorder="1" applyAlignment="1">
      <alignment horizontal="center"/>
    </xf>
    <xf numFmtId="164" fontId="2" fillId="4" borderId="11" xfId="1" applyFont="1" applyFill="1" applyBorder="1" applyAlignment="1">
      <alignment horizontal="center"/>
    </xf>
    <xf numFmtId="49" fontId="2" fillId="3" borderId="10" xfId="1" applyNumberFormat="1" applyFont="1" applyFill="1" applyBorder="1" applyAlignment="1">
      <alignment horizontal="center"/>
    </xf>
    <xf numFmtId="164" fontId="2" fillId="3" borderId="11" xfId="1" applyFont="1" applyFill="1" applyBorder="1" applyAlignment="1">
      <alignment horizontal="center"/>
    </xf>
    <xf numFmtId="9" fontId="2" fillId="3" borderId="0" xfId="2" applyFont="1" applyFill="1" applyBorder="1" applyAlignment="1">
      <alignment horizontal="center"/>
    </xf>
    <xf numFmtId="9" fontId="2" fillId="4" borderId="11" xfId="2" applyFont="1" applyFill="1" applyBorder="1" applyAlignment="1">
      <alignment horizontal="center"/>
    </xf>
    <xf numFmtId="164" fontId="1" fillId="0" borderId="12" xfId="1" applyFont="1" applyFill="1" applyBorder="1"/>
    <xf numFmtId="164" fontId="1" fillId="0" borderId="15" xfId="1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0" borderId="5" xfId="0" applyFont="1" applyFill="1" applyBorder="1" applyAlignment="1">
      <alignment horizontal="center"/>
    </xf>
    <xf numFmtId="164" fontId="1" fillId="0" borderId="5" xfId="1" applyFont="1" applyFill="1" applyBorder="1"/>
    <xf numFmtId="0" fontId="1" fillId="0" borderId="6" xfId="0" applyFont="1" applyFill="1" applyBorder="1"/>
    <xf numFmtId="0" fontId="8" fillId="0" borderId="0" xfId="0" applyFont="1" applyFill="1"/>
    <xf numFmtId="0" fontId="10" fillId="0" borderId="18" xfId="33" applyFont="1" applyBorder="1" applyProtection="1">
      <protection locked="0"/>
    </xf>
    <xf numFmtId="0" fontId="3" fillId="0" borderId="20" xfId="33" applyFont="1" applyBorder="1" applyProtection="1">
      <protection locked="0"/>
    </xf>
    <xf numFmtId="0" fontId="3" fillId="0" borderId="21" xfId="33" applyFont="1" applyBorder="1" applyProtection="1">
      <protection locked="0"/>
    </xf>
    <xf numFmtId="0" fontId="10" fillId="0" borderId="13" xfId="33" applyFont="1" applyBorder="1" applyProtection="1">
      <protection locked="0"/>
    </xf>
    <xf numFmtId="0" fontId="3" fillId="0" borderId="13" xfId="33" applyFont="1" applyBorder="1" applyProtection="1">
      <protection locked="0"/>
    </xf>
    <xf numFmtId="0" fontId="3" fillId="0" borderId="0" xfId="33" applyFont="1" applyProtection="1">
      <protection locked="0"/>
    </xf>
    <xf numFmtId="0" fontId="3" fillId="0" borderId="0" xfId="33" applyFont="1" applyAlignment="1" applyProtection="1">
      <protection locked="0"/>
    </xf>
    <xf numFmtId="0" fontId="10" fillId="0" borderId="19" xfId="33" applyFont="1" applyBorder="1" applyAlignment="1" applyProtection="1">
      <alignment horizontal="center"/>
      <protection locked="0"/>
    </xf>
    <xf numFmtId="0" fontId="3" fillId="0" borderId="22" xfId="33" applyFont="1" applyBorder="1" applyAlignment="1" applyProtection="1">
      <alignment horizontal="center"/>
      <protection locked="0"/>
    </xf>
    <xf numFmtId="0" fontId="10" fillId="0" borderId="24" xfId="33" applyFont="1" applyBorder="1" applyProtection="1">
      <protection locked="0"/>
    </xf>
    <xf numFmtId="0" fontId="3" fillId="0" borderId="25" xfId="33" applyFont="1" applyBorder="1" applyProtection="1">
      <protection locked="0"/>
    </xf>
    <xf numFmtId="0" fontId="10" fillId="0" borderId="16" xfId="33" applyFont="1" applyBorder="1" applyProtection="1">
      <protection locked="0"/>
    </xf>
    <xf numFmtId="0" fontId="3" fillId="0" borderId="16" xfId="33" applyFont="1" applyBorder="1" applyProtection="1">
      <protection locked="0"/>
    </xf>
    <xf numFmtId="0" fontId="3" fillId="0" borderId="26" xfId="33" applyFont="1" applyBorder="1" applyProtection="1">
      <protection locked="0"/>
    </xf>
    <xf numFmtId="0" fontId="3" fillId="0" borderId="2" xfId="33" applyFont="1" applyBorder="1" applyProtection="1">
      <protection locked="0"/>
    </xf>
    <xf numFmtId="0" fontId="3" fillId="0" borderId="0" xfId="33" applyFont="1" applyBorder="1" applyProtection="1">
      <protection locked="0"/>
    </xf>
    <xf numFmtId="164" fontId="2" fillId="0" borderId="12" xfId="1" applyFont="1" applyFill="1" applyBorder="1"/>
    <xf numFmtId="164" fontId="2" fillId="0" borderId="15" xfId="1" applyFont="1" applyFill="1" applyBorder="1"/>
    <xf numFmtId="0" fontId="10" fillId="0" borderId="27" xfId="33" applyFont="1" applyBorder="1" applyProtection="1">
      <protection locked="0"/>
    </xf>
    <xf numFmtId="0" fontId="10" fillId="0" borderId="28" xfId="33" applyFont="1" applyBorder="1" applyProtection="1">
      <protection locked="0"/>
    </xf>
    <xf numFmtId="164" fontId="2" fillId="0" borderId="29" xfId="1" applyFont="1" applyFill="1" applyBorder="1"/>
    <xf numFmtId="43" fontId="3" fillId="0" borderId="0" xfId="33" applyNumberFormat="1" applyFont="1" applyProtection="1">
      <protection locked="0"/>
    </xf>
    <xf numFmtId="164" fontId="3" fillId="0" borderId="0" xfId="34" applyFont="1" applyAlignment="1" applyProtection="1">
      <alignment wrapText="1"/>
      <protection locked="0"/>
    </xf>
    <xf numFmtId="164" fontId="3" fillId="0" borderId="0" xfId="34" applyFont="1" applyProtection="1">
      <protection locked="0"/>
    </xf>
    <xf numFmtId="0" fontId="10" fillId="0" borderId="0" xfId="33" applyFont="1" applyProtection="1">
      <protection locked="0"/>
    </xf>
    <xf numFmtId="164" fontId="10" fillId="0" borderId="0" xfId="34" applyFont="1" applyAlignment="1" applyProtection="1">
      <alignment wrapText="1"/>
      <protection locked="0"/>
    </xf>
    <xf numFmtId="164" fontId="10" fillId="0" borderId="0" xfId="34" applyFont="1" applyProtection="1">
      <protection locked="0"/>
    </xf>
    <xf numFmtId="0" fontId="11" fillId="0" borderId="0" xfId="33" applyFont="1" applyAlignment="1" applyProtection="1">
      <protection locked="0"/>
    </xf>
    <xf numFmtId="0" fontId="1" fillId="0" borderId="15" xfId="0" applyFont="1" applyFill="1" applyBorder="1"/>
    <xf numFmtId="164" fontId="2" fillId="0" borderId="15" xfId="0" applyNumberFormat="1" applyFont="1" applyFill="1" applyBorder="1"/>
    <xf numFmtId="164" fontId="2" fillId="0" borderId="30" xfId="0" applyNumberFormat="1" applyFont="1" applyFill="1" applyBorder="1"/>
    <xf numFmtId="43" fontId="3" fillId="0" borderId="0" xfId="33" applyNumberFormat="1" applyFont="1" applyBorder="1" applyProtection="1">
      <protection locked="0"/>
    </xf>
    <xf numFmtId="10" fontId="3" fillId="0" borderId="0" xfId="33" applyNumberFormat="1" applyFont="1" applyBorder="1" applyAlignment="1" applyProtection="1">
      <alignment horizontal="left"/>
      <protection locked="0"/>
    </xf>
    <xf numFmtId="10" fontId="3" fillId="0" borderId="0" xfId="33" applyNumberFormat="1" applyFont="1" applyBorder="1" applyAlignment="1" applyProtection="1">
      <alignment horizontal="right"/>
      <protection locked="0"/>
    </xf>
    <xf numFmtId="43" fontId="3" fillId="0" borderId="3" xfId="33" applyNumberFormat="1" applyFont="1" applyBorder="1" applyProtection="1">
      <protection locked="0"/>
    </xf>
    <xf numFmtId="10" fontId="3" fillId="0" borderId="0" xfId="33" applyNumberFormat="1" applyFont="1" applyBorder="1" applyAlignment="1" applyProtection="1">
      <alignment horizontal="center"/>
      <protection locked="0"/>
    </xf>
    <xf numFmtId="0" fontId="10" fillId="0" borderId="2" xfId="33" applyFont="1" applyBorder="1" applyProtection="1">
      <protection locked="0"/>
    </xf>
    <xf numFmtId="0" fontId="10" fillId="0" borderId="14" xfId="33" applyFont="1" applyBorder="1" applyAlignment="1" applyProtection="1">
      <alignment horizontal="center"/>
      <protection locked="0"/>
    </xf>
    <xf numFmtId="0" fontId="3" fillId="0" borderId="14" xfId="33" applyFont="1" applyBorder="1" applyAlignment="1" applyProtection="1">
      <alignment horizontal="center"/>
      <protection locked="0"/>
    </xf>
    <xf numFmtId="0" fontId="10" fillId="0" borderId="12" xfId="33" applyFont="1" applyBorder="1" applyAlignment="1" applyProtection="1">
      <alignment horizontal="center"/>
      <protection locked="0"/>
    </xf>
    <xf numFmtId="0" fontId="3" fillId="0" borderId="23" xfId="33" applyFont="1" applyBorder="1" applyAlignment="1" applyProtection="1">
      <alignment horizontal="center"/>
      <protection locked="0"/>
    </xf>
    <xf numFmtId="0" fontId="3" fillId="0" borderId="31" xfId="33" applyFont="1" applyBorder="1" applyAlignment="1" applyProtection="1">
      <alignment horizontal="center"/>
      <protection locked="0"/>
    </xf>
    <xf numFmtId="0" fontId="10" fillId="0" borderId="29" xfId="33" applyFont="1" applyBorder="1" applyAlignment="1" applyProtection="1">
      <alignment horizontal="center"/>
      <protection locked="0"/>
    </xf>
    <xf numFmtId="0" fontId="11" fillId="0" borderId="0" xfId="33" applyFont="1" applyBorder="1" applyAlignment="1" applyProtection="1">
      <alignment horizontal="center"/>
      <protection locked="0"/>
    </xf>
    <xf numFmtId="0" fontId="11" fillId="0" borderId="3" xfId="33" applyFont="1" applyBorder="1" applyAlignment="1" applyProtection="1">
      <alignment horizontal="center"/>
      <protection locked="0"/>
    </xf>
    <xf numFmtId="0" fontId="3" fillId="0" borderId="0" xfId="33" applyFont="1" applyBorder="1" applyAlignment="1" applyProtection="1">
      <alignment horizontal="center"/>
      <protection locked="0"/>
    </xf>
    <xf numFmtId="0" fontId="3" fillId="0" borderId="3" xfId="33" applyFont="1" applyBorder="1" applyAlignment="1" applyProtection="1">
      <alignment horizontal="center"/>
      <protection locked="0"/>
    </xf>
    <xf numFmtId="43" fontId="3" fillId="0" borderId="0" xfId="33" applyNumberFormat="1" applyFont="1" applyBorder="1" applyAlignment="1" applyProtection="1">
      <alignment horizontal="center"/>
      <protection locked="0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9" fontId="9" fillId="2" borderId="10" xfId="0" applyNumberFormat="1" applyFont="1" applyFill="1" applyBorder="1" applyAlignment="1">
      <alignment horizontal="center" vertical="center" wrapText="1"/>
    </xf>
    <xf numFmtId="9" fontId="9" fillId="2" borderId="11" xfId="0" applyNumberFormat="1" applyFont="1" applyFill="1" applyBorder="1" applyAlignment="1">
      <alignment horizontal="center" vertical="center" wrapText="1"/>
    </xf>
    <xf numFmtId="9" fontId="9" fillId="2" borderId="17" xfId="0" applyNumberFormat="1" applyFont="1" applyFill="1" applyBorder="1" applyAlignment="1">
      <alignment horizontal="center" vertical="center" wrapText="1"/>
    </xf>
    <xf numFmtId="49" fontId="2" fillId="3" borderId="7" xfId="1" applyNumberFormat="1" applyFont="1" applyFill="1" applyBorder="1" applyAlignment="1">
      <alignment horizontal="center"/>
    </xf>
    <xf numFmtId="49" fontId="2" fillId="3" borderId="8" xfId="1" applyNumberFormat="1" applyFont="1" applyFill="1" applyBorder="1" applyAlignment="1">
      <alignment horizontal="center"/>
    </xf>
    <xf numFmtId="49" fontId="2" fillId="3" borderId="9" xfId="1" applyNumberFormat="1" applyFont="1" applyFill="1" applyBorder="1" applyAlignment="1">
      <alignment horizontal="center"/>
    </xf>
    <xf numFmtId="164" fontId="2" fillId="4" borderId="7" xfId="1" applyFont="1" applyFill="1" applyBorder="1" applyAlignment="1">
      <alignment horizontal="center"/>
    </xf>
    <xf numFmtId="164" fontId="2" fillId="4" borderId="9" xfId="1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</cellXfs>
  <cellStyles count="35">
    <cellStyle name="Comma" xfId="1" builtinId="3"/>
    <cellStyle name="Comma 10 2" xfId="34"/>
    <cellStyle name="Comma 2" xfId="3"/>
    <cellStyle name="Comma 2 2" xfId="4"/>
    <cellStyle name="Comma 2 2 2" xfId="5"/>
    <cellStyle name="Comma 2 3" xfId="6"/>
    <cellStyle name="Comma 20" xfId="7"/>
    <cellStyle name="Comma 20 2" xfId="8"/>
    <cellStyle name="Comma 3" xfId="9"/>
    <cellStyle name="Comma 3 2" xfId="10"/>
    <cellStyle name="Comma 3 2 2" xfId="11"/>
    <cellStyle name="Comma 3 3" xfId="12"/>
    <cellStyle name="Comma 4" xfId="13"/>
    <cellStyle name="Comma 5" xfId="14"/>
    <cellStyle name="Comma 5 2" xfId="15"/>
    <cellStyle name="Comma 7" xfId="16"/>
    <cellStyle name="Comma 7 2" xfId="17"/>
    <cellStyle name="Currency 16" xfId="18"/>
    <cellStyle name="Currency 3" xfId="19"/>
    <cellStyle name="Normal" xfId="0" builtinId="0"/>
    <cellStyle name="Normal 18" xfId="20"/>
    <cellStyle name="Normal 19" xfId="21"/>
    <cellStyle name="Normal 2" xfId="22"/>
    <cellStyle name="Normal 2 2" xfId="23"/>
    <cellStyle name="Normal 2 3" xfId="24"/>
    <cellStyle name="Normal 3" xfId="25"/>
    <cellStyle name="Normal 3 2" xfId="26"/>
    <cellStyle name="Normal 3 3" xfId="27"/>
    <cellStyle name="Normal 4" xfId="28"/>
    <cellStyle name="Normal 4 2" xfId="29"/>
    <cellStyle name="Normal 5" xfId="30"/>
    <cellStyle name="Normal 6" xfId="33"/>
    <cellStyle name="Percent" xfId="2" builtinId="5"/>
    <cellStyle name="Percent 12" xfId="31"/>
    <cellStyle name="Percent 2" xfId="32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1"/>
  <sheetViews>
    <sheetView tabSelected="1" zoomScale="115" zoomScaleNormal="115" workbookViewId="0">
      <pane xSplit="3" ySplit="9" topLeftCell="D10" activePane="bottomRight" state="frozen"/>
      <selection activeCell="B42" sqref="B42"/>
      <selection pane="topRight" activeCell="B42" sqref="B42"/>
      <selection pane="bottomLeft" activeCell="B42" sqref="B42"/>
      <selection pane="bottomRight" activeCell="B54" sqref="B54"/>
    </sheetView>
  </sheetViews>
  <sheetFormatPr defaultColWidth="9.1328125" defaultRowHeight="13.5"/>
  <cols>
    <col min="1" max="1" width="6.46484375" style="1" customWidth="1"/>
    <col min="2" max="2" width="35.46484375" style="1" customWidth="1"/>
    <col min="3" max="3" width="13.46484375" style="6" customWidth="1"/>
    <col min="4" max="4" width="13.796875" style="8" customWidth="1"/>
    <col min="5" max="5" width="12.6640625" style="8" bestFit="1" customWidth="1"/>
    <col min="6" max="6" width="13.1328125" style="8" customWidth="1"/>
    <col min="7" max="7" width="13.33203125" style="8" bestFit="1" customWidth="1"/>
    <col min="8" max="8" width="13.1328125" style="8" customWidth="1"/>
    <col min="9" max="9" width="14" style="1" customWidth="1"/>
    <col min="10" max="11" width="9.1328125" style="1"/>
    <col min="12" max="12" width="19.46484375" style="10" hidden="1" customWidth="1"/>
    <col min="13" max="16384" width="9.1328125" style="1"/>
  </cols>
  <sheetData>
    <row r="1" spans="1:12">
      <c r="A1" s="32" t="s">
        <v>16</v>
      </c>
    </row>
    <row r="3" spans="1:12">
      <c r="A3" s="12" t="s">
        <v>17</v>
      </c>
    </row>
    <row r="4" spans="1:12">
      <c r="A4" s="12" t="s">
        <v>9</v>
      </c>
    </row>
    <row r="5" spans="1:12" ht="13.9" thickBot="1"/>
    <row r="6" spans="1:12" s="4" customFormat="1" ht="15" customHeight="1" thickBot="1">
      <c r="A6" s="13"/>
      <c r="B6" s="81" t="s">
        <v>14</v>
      </c>
      <c r="C6" s="83" t="s">
        <v>18</v>
      </c>
      <c r="D6" s="86" t="s">
        <v>10</v>
      </c>
      <c r="E6" s="87"/>
      <c r="F6" s="88"/>
      <c r="G6" s="89" t="s">
        <v>11</v>
      </c>
      <c r="H6" s="90"/>
      <c r="I6" s="91" t="s">
        <v>15</v>
      </c>
      <c r="L6" s="3" t="s">
        <v>0</v>
      </c>
    </row>
    <row r="7" spans="1:12" s="4" customFormat="1" ht="15" customHeight="1">
      <c r="A7" s="14"/>
      <c r="B7" s="82"/>
      <c r="C7" s="84"/>
      <c r="D7" s="19"/>
      <c r="E7" s="19"/>
      <c r="F7" s="15"/>
      <c r="G7" s="17"/>
      <c r="H7" s="17"/>
      <c r="I7" s="92"/>
      <c r="L7" s="3"/>
    </row>
    <row r="8" spans="1:12" s="4" customFormat="1" ht="14" customHeight="1">
      <c r="A8" s="14"/>
      <c r="B8" s="82"/>
      <c r="C8" s="84"/>
      <c r="D8" s="20" t="s">
        <v>7</v>
      </c>
      <c r="E8" s="20" t="s">
        <v>1</v>
      </c>
      <c r="F8" s="16" t="s">
        <v>2</v>
      </c>
      <c r="G8" s="18" t="s">
        <v>3</v>
      </c>
      <c r="H8" s="18" t="s">
        <v>4</v>
      </c>
      <c r="I8" s="92"/>
      <c r="L8" s="5"/>
    </row>
    <row r="9" spans="1:12" s="4" customFormat="1" ht="15" customHeight="1">
      <c r="A9" s="14"/>
      <c r="B9" s="82"/>
      <c r="C9" s="85"/>
      <c r="D9" s="20" t="s">
        <v>5</v>
      </c>
      <c r="E9" s="20" t="s">
        <v>6</v>
      </c>
      <c r="F9" s="21">
        <v>0.01</v>
      </c>
      <c r="G9" s="22">
        <v>0.02</v>
      </c>
      <c r="H9" s="22">
        <v>0.01</v>
      </c>
      <c r="I9" s="93"/>
      <c r="L9" s="5"/>
    </row>
    <row r="10" spans="1:12">
      <c r="A10" s="42" t="s">
        <v>19</v>
      </c>
      <c r="B10" s="33"/>
      <c r="C10" s="40"/>
      <c r="D10" s="23"/>
      <c r="E10" s="23"/>
      <c r="F10" s="23"/>
      <c r="G10" s="23"/>
      <c r="H10" s="23"/>
      <c r="I10" s="24">
        <f t="shared" ref="I10:I11" si="0">SUM(D10:H10)</f>
        <v>0</v>
      </c>
      <c r="L10" s="9" t="s">
        <v>8</v>
      </c>
    </row>
    <row r="11" spans="1:12">
      <c r="A11" s="43">
        <v>1</v>
      </c>
      <c r="B11" s="35" t="s">
        <v>20</v>
      </c>
      <c r="C11" s="41">
        <v>127947</v>
      </c>
      <c r="D11" s="23"/>
      <c r="E11" s="23">
        <v>290.32</v>
      </c>
      <c r="F11" s="23"/>
      <c r="G11" s="23">
        <v>116.13</v>
      </c>
      <c r="H11" s="23"/>
      <c r="I11" s="24">
        <f t="shared" si="0"/>
        <v>406.45</v>
      </c>
      <c r="L11" s="9" t="s">
        <v>8</v>
      </c>
    </row>
    <row r="12" spans="1:12">
      <c r="A12" s="44"/>
      <c r="B12" s="36" t="s">
        <v>27</v>
      </c>
      <c r="C12" s="70"/>
      <c r="D12" s="49">
        <f>SUM(D11:D11)</f>
        <v>0</v>
      </c>
      <c r="E12" s="49">
        <f>SUM(E11:E11)</f>
        <v>290.32</v>
      </c>
      <c r="F12" s="49">
        <f>SUM(F11:F11)</f>
        <v>0</v>
      </c>
      <c r="G12" s="49">
        <f>SUM(G11:G11)</f>
        <v>116.13</v>
      </c>
      <c r="H12" s="49">
        <f>SUM(H11:H11)</f>
        <v>0</v>
      </c>
      <c r="I12" s="50">
        <f t="shared" ref="I12" si="1">SUM(D12:H12)</f>
        <v>406.45</v>
      </c>
    </row>
    <row r="13" spans="1:12">
      <c r="A13" s="45"/>
      <c r="B13" s="37"/>
      <c r="C13" s="71"/>
      <c r="D13" s="23"/>
      <c r="E13" s="23"/>
      <c r="F13" s="23"/>
      <c r="G13" s="23"/>
      <c r="H13" s="23"/>
      <c r="I13" s="61"/>
    </row>
    <row r="14" spans="1:12">
      <c r="A14" s="42" t="s">
        <v>23</v>
      </c>
      <c r="B14" s="33"/>
      <c r="C14" s="72"/>
      <c r="D14" s="23"/>
      <c r="E14" s="23"/>
      <c r="F14" s="23"/>
      <c r="G14" s="23"/>
      <c r="H14" s="23"/>
      <c r="I14" s="61"/>
    </row>
    <row r="15" spans="1:12">
      <c r="A15" s="46">
        <v>1</v>
      </c>
      <c r="B15" s="34" t="s">
        <v>21</v>
      </c>
      <c r="C15" s="73">
        <v>304104</v>
      </c>
      <c r="D15" s="23">
        <v>500</v>
      </c>
      <c r="E15" s="23"/>
      <c r="F15" s="23"/>
      <c r="G15" s="23"/>
      <c r="H15" s="23"/>
      <c r="I15" s="62">
        <f>SUM(D15:H15)</f>
        <v>500</v>
      </c>
    </row>
    <row r="16" spans="1:12">
      <c r="A16" s="44"/>
      <c r="B16" s="36" t="s">
        <v>24</v>
      </c>
      <c r="C16" s="70"/>
      <c r="D16" s="49">
        <f>SUM(D15:D15)</f>
        <v>500</v>
      </c>
      <c r="E16" s="49">
        <f>SUM(E15:E15)</f>
        <v>0</v>
      </c>
      <c r="F16" s="49">
        <f>SUM(F15:F15)</f>
        <v>0</v>
      </c>
      <c r="G16" s="49">
        <f>SUM(G15:G15)</f>
        <v>0</v>
      </c>
      <c r="H16" s="49">
        <f>SUM(H15:H15)</f>
        <v>0</v>
      </c>
      <c r="I16" s="62">
        <f>SUM(D16:H16)</f>
        <v>500</v>
      </c>
    </row>
    <row r="17" spans="1:13">
      <c r="A17" s="45"/>
      <c r="B17" s="37"/>
      <c r="C17" s="71"/>
      <c r="D17" s="23"/>
      <c r="E17" s="23"/>
      <c r="F17" s="23"/>
      <c r="G17" s="23"/>
      <c r="H17" s="23"/>
      <c r="I17" s="61"/>
    </row>
    <row r="18" spans="1:13">
      <c r="A18" s="42" t="s">
        <v>22</v>
      </c>
      <c r="B18" s="33"/>
      <c r="C18" s="72"/>
      <c r="D18" s="23"/>
      <c r="E18" s="23"/>
      <c r="F18" s="23"/>
      <c r="G18" s="23"/>
      <c r="H18" s="23"/>
      <c r="I18" s="61"/>
    </row>
    <row r="19" spans="1:13">
      <c r="A19" s="43">
        <v>1</v>
      </c>
      <c r="B19" s="34" t="s">
        <v>21</v>
      </c>
      <c r="C19" s="73">
        <v>304104</v>
      </c>
      <c r="D19" s="23"/>
      <c r="E19" s="23"/>
      <c r="F19" s="23">
        <v>500</v>
      </c>
      <c r="G19" s="23"/>
      <c r="H19" s="23"/>
      <c r="I19" s="62">
        <f>SUM(D19:H19)</f>
        <v>500</v>
      </c>
    </row>
    <row r="20" spans="1:13">
      <c r="A20" s="42"/>
      <c r="B20" s="33" t="s">
        <v>25</v>
      </c>
      <c r="C20" s="72"/>
      <c r="D20" s="49">
        <f>SUM(D15:D19)</f>
        <v>1000</v>
      </c>
      <c r="E20" s="49">
        <f>SUM(E15:E19)</f>
        <v>0</v>
      </c>
      <c r="F20" s="49">
        <f>SUM(F15:F19)</f>
        <v>500</v>
      </c>
      <c r="G20" s="49">
        <f>SUM(G15:G19)</f>
        <v>0</v>
      </c>
      <c r="H20" s="49">
        <f>SUM(H15:H19)</f>
        <v>0</v>
      </c>
      <c r="I20" s="62">
        <f>SUM(E20:H20)</f>
        <v>500</v>
      </c>
    </row>
    <row r="21" spans="1:13">
      <c r="A21" s="47"/>
      <c r="B21" s="48"/>
      <c r="C21" s="74"/>
      <c r="D21" s="23"/>
      <c r="E21" s="23"/>
      <c r="F21" s="23"/>
      <c r="G21" s="23"/>
      <c r="H21" s="23"/>
      <c r="I21" s="61"/>
    </row>
    <row r="22" spans="1:13" ht="13.9" thickBot="1">
      <c r="A22" s="51"/>
      <c r="B22" s="52" t="s">
        <v>26</v>
      </c>
      <c r="C22" s="75"/>
      <c r="D22" s="53">
        <f>D12+D16+D20</f>
        <v>1500</v>
      </c>
      <c r="E22" s="53">
        <f>E12+E16+E20</f>
        <v>290.32</v>
      </c>
      <c r="F22" s="53">
        <f>F12+F16+F20</f>
        <v>500</v>
      </c>
      <c r="G22" s="53">
        <f>G12+G16+G20</f>
        <v>116.13</v>
      </c>
      <c r="H22" s="53">
        <f>H12+H16+H20</f>
        <v>0</v>
      </c>
      <c r="I22" s="63">
        <f>SUM(D22:H22)</f>
        <v>2406.4499999999998</v>
      </c>
    </row>
    <row r="23" spans="1:13" ht="13.9" thickTop="1">
      <c r="A23" s="25"/>
      <c r="B23" s="2"/>
      <c r="C23" s="11"/>
      <c r="D23" s="7"/>
      <c r="E23" s="7"/>
      <c r="F23" s="7"/>
      <c r="G23" s="7"/>
      <c r="H23" s="7"/>
      <c r="I23" s="26"/>
    </row>
    <row r="24" spans="1:13">
      <c r="A24" s="25"/>
      <c r="B24" s="2"/>
      <c r="C24" s="11"/>
      <c r="D24" s="7"/>
      <c r="E24" s="7"/>
      <c r="F24" s="7"/>
      <c r="G24" s="7"/>
      <c r="H24" s="7"/>
      <c r="I24" s="26"/>
    </row>
    <row r="25" spans="1:13" s="38" customFormat="1" ht="12.75">
      <c r="A25" s="47"/>
      <c r="B25" s="48" t="s">
        <v>12</v>
      </c>
      <c r="C25" s="48"/>
      <c r="D25" s="64" t="s">
        <v>13</v>
      </c>
      <c r="E25" s="64"/>
      <c r="F25" s="64"/>
      <c r="G25" s="65" t="s">
        <v>28</v>
      </c>
      <c r="H25" s="66"/>
      <c r="I25" s="67"/>
      <c r="J25" s="54"/>
      <c r="K25" s="54"/>
      <c r="L25" s="55"/>
      <c r="M25" s="56"/>
    </row>
    <row r="26" spans="1:13" s="38" customFormat="1" ht="12.75">
      <c r="A26" s="47"/>
      <c r="B26" s="48"/>
      <c r="C26" s="48"/>
      <c r="D26" s="64"/>
      <c r="E26" s="64"/>
      <c r="F26" s="64"/>
      <c r="G26" s="64"/>
      <c r="H26" s="68"/>
      <c r="I26" s="67"/>
      <c r="J26" s="54"/>
      <c r="K26" s="54"/>
      <c r="L26" s="55"/>
      <c r="M26" s="56"/>
    </row>
    <row r="27" spans="1:13" s="38" customFormat="1" ht="12.75">
      <c r="A27" s="47"/>
      <c r="B27" s="48"/>
      <c r="C27" s="48"/>
      <c r="D27" s="64"/>
      <c r="E27" s="64"/>
      <c r="F27" s="64"/>
      <c r="G27" s="64"/>
      <c r="H27" s="68"/>
      <c r="I27" s="67"/>
      <c r="J27" s="54"/>
      <c r="K27" s="54"/>
      <c r="L27" s="55"/>
      <c r="M27" s="56"/>
    </row>
    <row r="28" spans="1:13" s="57" customFormat="1" ht="15" customHeight="1">
      <c r="A28" s="69"/>
      <c r="B28" s="76" t="s">
        <v>29</v>
      </c>
      <c r="C28" s="76"/>
      <c r="D28" s="76" t="s">
        <v>30</v>
      </c>
      <c r="E28" s="76"/>
      <c r="F28" s="76"/>
      <c r="G28" s="76" t="s">
        <v>34</v>
      </c>
      <c r="H28" s="76"/>
      <c r="I28" s="77"/>
      <c r="J28" s="60"/>
      <c r="K28" s="60"/>
      <c r="L28" s="58"/>
      <c r="M28" s="59"/>
    </row>
    <row r="29" spans="1:13" s="38" customFormat="1" ht="15" customHeight="1">
      <c r="A29" s="47"/>
      <c r="B29" s="78" t="s">
        <v>31</v>
      </c>
      <c r="C29" s="78"/>
      <c r="D29" s="80" t="s">
        <v>32</v>
      </c>
      <c r="E29" s="80"/>
      <c r="F29" s="80"/>
      <c r="G29" s="78" t="s">
        <v>33</v>
      </c>
      <c r="H29" s="78"/>
      <c r="I29" s="79"/>
      <c r="J29" s="39"/>
      <c r="K29" s="39"/>
      <c r="L29" s="55"/>
      <c r="M29" s="56"/>
    </row>
    <row r="30" spans="1:13">
      <c r="A30" s="25"/>
      <c r="B30" s="2"/>
      <c r="C30" s="11"/>
      <c r="D30" s="7"/>
      <c r="E30" s="7"/>
      <c r="F30" s="7"/>
      <c r="G30" s="7"/>
      <c r="H30" s="7"/>
      <c r="I30" s="26"/>
    </row>
    <row r="31" spans="1:13" ht="13.9" thickBot="1">
      <c r="A31" s="27"/>
      <c r="B31" s="28"/>
      <c r="C31" s="29"/>
      <c r="D31" s="30"/>
      <c r="E31" s="30"/>
      <c r="F31" s="30"/>
      <c r="G31" s="30"/>
      <c r="H31" s="30"/>
      <c r="I31" s="31"/>
    </row>
  </sheetData>
  <mergeCells count="11">
    <mergeCell ref="B6:B9"/>
    <mergeCell ref="C6:C9"/>
    <mergeCell ref="D6:F6"/>
    <mergeCell ref="G6:H6"/>
    <mergeCell ref="I6:I9"/>
    <mergeCell ref="G28:I28"/>
    <mergeCell ref="G29:I29"/>
    <mergeCell ref="B28:C28"/>
    <mergeCell ref="B29:C29"/>
    <mergeCell ref="D28:F28"/>
    <mergeCell ref="D29:F29"/>
  </mergeCells>
  <conditionalFormatting sqref="B11">
    <cfRule type="duplicateValues" dxfId="1" priority="49"/>
  </conditionalFormatting>
  <conditionalFormatting sqref="B10">
    <cfRule type="duplicateValues" dxfId="0" priority="57"/>
  </conditionalFormatting>
  <pageMargins left="0.7" right="0.7" top="0.75" bottom="0.75" header="0.3" footer="0.3"/>
  <pageSetup paperSize="9" scale="53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EmmmJeee</dc:creator>
  <cp:lastModifiedBy>USER</cp:lastModifiedBy>
  <cp:lastPrinted>2020-10-01T10:33:20Z</cp:lastPrinted>
  <dcterms:created xsi:type="dcterms:W3CDTF">2019-01-28T01:25:16Z</dcterms:created>
  <dcterms:modified xsi:type="dcterms:W3CDTF">2022-02-05T21:37:57Z</dcterms:modified>
</cp:coreProperties>
</file>