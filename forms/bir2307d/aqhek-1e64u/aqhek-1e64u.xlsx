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0" yWindow="503" windowWidth="20715" windowHeight="13875"/>
  </bookViews>
  <sheets>
    <sheet name="DO Summary Report" sheetId="3" r:id="rId1"/>
  </sheets>
  <definedNames>
    <definedName name="_xlnm.Print_Titles">#REF!</definedName>
  </definedNames>
  <calcPr calcId="124519"/>
  <fileRecoveryPr repairLoad="1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16" i="3"/>
  <c r="G12"/>
  <c r="D20"/>
  <c r="K20"/>
  <c r="I20"/>
  <c r="J19"/>
  <c r="E19"/>
  <c r="K16"/>
  <c r="I16"/>
  <c r="F16"/>
  <c r="L16"/>
  <c r="J15"/>
  <c r="J16" s="1"/>
  <c r="E15"/>
  <c r="M14"/>
  <c r="N14" s="1"/>
  <c r="M13"/>
  <c r="N13" s="1"/>
  <c r="D16"/>
  <c r="D12"/>
  <c r="G20" l="1"/>
  <c r="G22" s="1"/>
  <c r="E20"/>
  <c r="D22"/>
  <c r="J20"/>
  <c r="M15"/>
  <c r="N15" s="1"/>
  <c r="H20"/>
  <c r="M19"/>
  <c r="N19" s="1"/>
  <c r="L20"/>
  <c r="F20"/>
  <c r="E16"/>
  <c r="H16"/>
  <c r="N20" l="1"/>
  <c r="N16"/>
  <c r="M16"/>
  <c r="M20"/>
  <c r="K12" l="1"/>
  <c r="K22" s="1"/>
  <c r="I12"/>
  <c r="I22" s="1"/>
  <c r="L12"/>
  <c r="L22" s="1"/>
  <c r="J11"/>
  <c r="E11"/>
  <c r="F12" l="1"/>
  <c r="F22" s="1"/>
  <c r="E12"/>
  <c r="E22" s="1"/>
  <c r="J12"/>
  <c r="J22" s="1"/>
  <c r="H12"/>
  <c r="H22" s="1"/>
  <c r="M11"/>
  <c r="M12" l="1"/>
  <c r="N11"/>
  <c r="N12" l="1"/>
  <c r="N22" s="1"/>
  <c r="M22"/>
</calcChain>
</file>

<file path=xl/sharedStrings.xml><?xml version="1.0" encoding="utf-8"?>
<sst xmlns="http://schemas.openxmlformats.org/spreadsheetml/2006/main" count="50" uniqueCount="45">
  <si>
    <t>NAME OF SCHOOL</t>
  </si>
  <si>
    <t xml:space="preserve">SUMMARY OF TAXES WITHHELD </t>
  </si>
  <si>
    <t>Gross Amount</t>
  </si>
  <si>
    <t>1600 (BIR Form 2307)</t>
  </si>
  <si>
    <t>1601E (BIR Form 2307)</t>
  </si>
  <si>
    <t>TOTAL TAXES  WITHHELD</t>
  </si>
  <si>
    <t>Amount NET of Tax</t>
  </si>
  <si>
    <t>SCHOOLS</t>
  </si>
  <si>
    <t>VAT</t>
  </si>
  <si>
    <t>NON-VAT</t>
  </si>
  <si>
    <t>INDIVIDUAL</t>
  </si>
  <si>
    <t>CORPORATION</t>
  </si>
  <si>
    <t xml:space="preserve"> WV010 </t>
  </si>
  <si>
    <t>WV020</t>
  </si>
  <si>
    <t>WB080</t>
  </si>
  <si>
    <t>WI 157</t>
  </si>
  <si>
    <t>WI 640</t>
  </si>
  <si>
    <t>WC 157</t>
  </si>
  <si>
    <t>WC 640</t>
  </si>
  <si>
    <t>5% Goods</t>
  </si>
  <si>
    <t>5% Services</t>
  </si>
  <si>
    <t>1% Goods/Services</t>
  </si>
  <si>
    <t>Indahag ES</t>
  </si>
  <si>
    <t>Prepared by:</t>
  </si>
  <si>
    <t>Certified Correct:</t>
  </si>
  <si>
    <t>Administrative Assitant III</t>
  </si>
  <si>
    <t>All transactions reflected on this Report were taken from the CiBR for the month (Due to BIR Account)</t>
  </si>
  <si>
    <r>
      <t>For the Month of February,</t>
    </r>
    <r>
      <rPr>
        <b/>
        <u/>
        <sz val="11"/>
        <color theme="1"/>
        <rFont val="Arial Narrow"/>
        <family val="2"/>
      </rPr>
      <t xml:space="preserve"> 2022</t>
    </r>
  </si>
  <si>
    <t>SCHOOL ID</t>
  </si>
  <si>
    <t>Elementary Schools</t>
  </si>
  <si>
    <t>Agusan ES</t>
  </si>
  <si>
    <t>Total Elementary</t>
  </si>
  <si>
    <t>Junior High School (Non-Ius)</t>
  </si>
  <si>
    <t>Agusan NHS</t>
  </si>
  <si>
    <t>Total JHS</t>
  </si>
  <si>
    <t>Senior High School</t>
  </si>
  <si>
    <t>Total SHS</t>
  </si>
  <si>
    <t>GRAND TOTAL</t>
  </si>
  <si>
    <t>Noted by:</t>
  </si>
  <si>
    <t>ARNEL A. CALUBAG, CPA, MBA</t>
  </si>
  <si>
    <t>CHERRY MAE L. LIMBACO-REYES</t>
  </si>
  <si>
    <t>Accountant III</t>
  </si>
  <si>
    <t>Schools Division Superintendent</t>
  </si>
  <si>
    <t>MITOS TESSA B. DUETES</t>
  </si>
  <si>
    <t>WB084</t>
  </si>
</sst>
</file>

<file path=xl/styles.xml><?xml version="1.0" encoding="utf-8"?>
<styleSheet xmlns="http://schemas.openxmlformats.org/spreadsheetml/2006/main">
  <numFmts count="2">
    <numFmt numFmtId="43" formatCode="_-* #,##0.00_-;\-* #,##0.00_-;_-* &quot;-&quot;??_-;_-@_-"/>
    <numFmt numFmtId="164" formatCode="_(* #,##0.00_);_(* \(#,##0.00\);_(* &quot;-&quot;??_);_(@_)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1"/>
      <color theme="1"/>
      <name val="Arial Narrow"/>
      <family val="2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  <font>
      <b/>
      <sz val="14"/>
      <color theme="1"/>
      <name val="Arial Narrow"/>
      <family val="2"/>
    </font>
    <font>
      <b/>
      <i/>
      <sz val="11"/>
      <color theme="1"/>
      <name val="Arial Narrow"/>
      <family val="2"/>
    </font>
    <font>
      <sz val="10"/>
      <name val="Arial"/>
      <family val="2"/>
    </font>
    <font>
      <b/>
      <sz val="10"/>
      <name val="Arial Narrow"/>
      <family val="2"/>
    </font>
    <font>
      <sz val="10"/>
      <name val="Arial Narrow"/>
      <family val="2"/>
    </font>
    <font>
      <b/>
      <sz val="11"/>
      <name val="Arial Narrow"/>
      <family val="2"/>
    </font>
    <font>
      <b/>
      <u/>
      <sz val="10"/>
      <name val="Arial Narrow"/>
      <family val="2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0" borderId="0"/>
  </cellStyleXfs>
  <cellXfs count="106">
    <xf numFmtId="0" fontId="0" fillId="0" borderId="0" xfId="0"/>
    <xf numFmtId="0" fontId="2" fillId="0" borderId="0" xfId="0" applyFont="1" applyFill="1"/>
    <xf numFmtId="0" fontId="3" fillId="0" borderId="0" xfId="0" applyFont="1" applyFill="1"/>
    <xf numFmtId="0" fontId="3" fillId="0" borderId="0" xfId="0" applyFont="1" applyFill="1" applyAlignment="1">
      <alignment horizontal="center"/>
    </xf>
    <xf numFmtId="164" fontId="3" fillId="0" borderId="0" xfId="1" applyFont="1" applyFill="1" applyAlignment="1">
      <alignment horizontal="center"/>
    </xf>
    <xf numFmtId="164" fontId="3" fillId="0" borderId="0" xfId="1" applyFont="1" applyFill="1"/>
    <xf numFmtId="0" fontId="3" fillId="0" borderId="0" xfId="0" applyFont="1" applyFill="1" applyAlignment="1">
      <alignment horizontal="left"/>
    </xf>
    <xf numFmtId="0" fontId="4" fillId="0" borderId="0" xfId="0" applyFont="1" applyFill="1"/>
    <xf numFmtId="0" fontId="4" fillId="2" borderId="1" xfId="0" applyFont="1" applyFill="1" applyBorder="1" applyAlignment="1">
      <alignment horizontal="center"/>
    </xf>
    <xf numFmtId="0" fontId="4" fillId="0" borderId="0" xfId="0" applyFont="1" applyFill="1" applyAlignment="1">
      <alignment horizontal="center"/>
    </xf>
    <xf numFmtId="0" fontId="4" fillId="8" borderId="0" xfId="0" applyFont="1" applyFill="1" applyAlignment="1">
      <alignment horizontal="center"/>
    </xf>
    <xf numFmtId="0" fontId="4" fillId="2" borderId="6" xfId="0" applyFont="1" applyFill="1" applyBorder="1" applyAlignment="1">
      <alignment horizontal="center"/>
    </xf>
    <xf numFmtId="49" fontId="4" fillId="4" borderId="2" xfId="1" applyNumberFormat="1" applyFont="1" applyFill="1" applyBorder="1" applyAlignment="1">
      <alignment horizontal="center"/>
    </xf>
    <xf numFmtId="164" fontId="4" fillId="4" borderId="7" xfId="1" applyFont="1" applyFill="1" applyBorder="1" applyAlignment="1">
      <alignment horizontal="center"/>
    </xf>
    <xf numFmtId="164" fontId="4" fillId="5" borderId="7" xfId="1" applyFont="1" applyFill="1" applyBorder="1" applyAlignment="1">
      <alignment horizontal="center"/>
    </xf>
    <xf numFmtId="9" fontId="4" fillId="8" borderId="0" xfId="0" applyNumberFormat="1" applyFont="1" applyFill="1" applyAlignment="1">
      <alignment horizontal="center"/>
    </xf>
    <xf numFmtId="9" fontId="4" fillId="5" borderId="7" xfId="2" applyFont="1" applyFill="1" applyBorder="1" applyAlignment="1">
      <alignment horizontal="center"/>
    </xf>
    <xf numFmtId="164" fontId="3" fillId="0" borderId="11" xfId="1" applyFont="1" applyFill="1" applyBorder="1" applyAlignment="1">
      <alignment horizontal="center"/>
    </xf>
    <xf numFmtId="164" fontId="3" fillId="0" borderId="11" xfId="1" applyFont="1" applyFill="1" applyBorder="1"/>
    <xf numFmtId="164" fontId="3" fillId="0" borderId="0" xfId="1" applyFont="1" applyFill="1" applyAlignment="1">
      <alignment horizontal="left"/>
    </xf>
    <xf numFmtId="164" fontId="3" fillId="0" borderId="11" xfId="1" applyFont="1" applyFill="1" applyBorder="1" applyAlignment="1">
      <alignment horizontal="left"/>
    </xf>
    <xf numFmtId="0" fontId="3" fillId="0" borderId="6" xfId="0" applyFont="1" applyFill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horizontal="center"/>
    </xf>
    <xf numFmtId="164" fontId="3" fillId="0" borderId="0" xfId="1" applyFont="1" applyFill="1" applyBorder="1" applyAlignment="1">
      <alignment horizontal="center"/>
    </xf>
    <xf numFmtId="164" fontId="3" fillId="0" borderId="0" xfId="1" applyFont="1" applyFill="1" applyBorder="1"/>
    <xf numFmtId="0" fontId="3" fillId="0" borderId="16" xfId="0" applyFont="1" applyFill="1" applyBorder="1"/>
    <xf numFmtId="0" fontId="3" fillId="0" borderId="17" xfId="0" applyFont="1" applyFill="1" applyBorder="1"/>
    <xf numFmtId="0" fontId="3" fillId="0" borderId="18" xfId="0" applyFont="1" applyFill="1" applyBorder="1"/>
    <xf numFmtId="0" fontId="3" fillId="0" borderId="18" xfId="0" applyFont="1" applyFill="1" applyBorder="1" applyAlignment="1">
      <alignment horizontal="center"/>
    </xf>
    <xf numFmtId="164" fontId="3" fillId="0" borderId="18" xfId="1" applyFont="1" applyFill="1" applyBorder="1" applyAlignment="1">
      <alignment horizontal="center"/>
    </xf>
    <xf numFmtId="164" fontId="3" fillId="0" borderId="18" xfId="1" applyFont="1" applyFill="1" applyBorder="1"/>
    <xf numFmtId="0" fontId="3" fillId="0" borderId="19" xfId="0" applyFont="1" applyFill="1" applyBorder="1"/>
    <xf numFmtId="49" fontId="4" fillId="4" borderId="20" xfId="1" applyNumberFormat="1" applyFont="1" applyFill="1" applyBorder="1" applyAlignment="1">
      <alignment horizontal="center"/>
    </xf>
    <xf numFmtId="164" fontId="4" fillId="4" borderId="21" xfId="1" applyFont="1" applyFill="1" applyBorder="1" applyAlignment="1">
      <alignment horizontal="center"/>
    </xf>
    <xf numFmtId="9" fontId="4" fillId="4" borderId="22" xfId="2" applyFont="1" applyFill="1" applyBorder="1" applyAlignment="1">
      <alignment horizontal="center"/>
    </xf>
    <xf numFmtId="0" fontId="8" fillId="0" borderId="24" xfId="3" applyFont="1" applyBorder="1" applyProtection="1">
      <protection locked="0"/>
    </xf>
    <xf numFmtId="0" fontId="8" fillId="0" borderId="25" xfId="3" applyFont="1" applyBorder="1" applyProtection="1">
      <protection locked="0"/>
    </xf>
    <xf numFmtId="0" fontId="9" fillId="0" borderId="26" xfId="3" applyFont="1" applyBorder="1" applyProtection="1">
      <protection locked="0"/>
    </xf>
    <xf numFmtId="0" fontId="9" fillId="0" borderId="27" xfId="3" applyFont="1" applyBorder="1" applyProtection="1">
      <protection locked="0"/>
    </xf>
    <xf numFmtId="0" fontId="8" fillId="0" borderId="12" xfId="3" applyFont="1" applyBorder="1" applyProtection="1">
      <protection locked="0"/>
    </xf>
    <xf numFmtId="0" fontId="8" fillId="0" borderId="13" xfId="3" applyFont="1" applyBorder="1" applyProtection="1">
      <protection locked="0"/>
    </xf>
    <xf numFmtId="0" fontId="8" fillId="0" borderId="14" xfId="3" applyFont="1" applyBorder="1" applyAlignment="1" applyProtection="1">
      <alignment horizontal="center"/>
      <protection locked="0"/>
    </xf>
    <xf numFmtId="0" fontId="9" fillId="0" borderId="12" xfId="3" applyFont="1" applyBorder="1" applyProtection="1">
      <protection locked="0"/>
    </xf>
    <xf numFmtId="0" fontId="9" fillId="0" borderId="13" xfId="3" applyFont="1" applyBorder="1" applyProtection="1">
      <protection locked="0"/>
    </xf>
    <xf numFmtId="0" fontId="9" fillId="0" borderId="14" xfId="3" applyFont="1" applyBorder="1" applyAlignment="1" applyProtection="1">
      <alignment horizontal="center"/>
      <protection locked="0"/>
    </xf>
    <xf numFmtId="0" fontId="8" fillId="0" borderId="11" xfId="3" applyFont="1" applyBorder="1" applyAlignment="1" applyProtection="1">
      <alignment horizontal="center"/>
      <protection locked="0"/>
    </xf>
    <xf numFmtId="0" fontId="9" fillId="0" borderId="22" xfId="3" applyFont="1" applyBorder="1" applyProtection="1">
      <protection locked="0"/>
    </xf>
    <xf numFmtId="0" fontId="9" fillId="0" borderId="29" xfId="3" applyFont="1" applyBorder="1" applyProtection="1">
      <protection locked="0"/>
    </xf>
    <xf numFmtId="0" fontId="9" fillId="0" borderId="30" xfId="3" applyFont="1" applyBorder="1" applyAlignment="1" applyProtection="1">
      <alignment horizontal="center"/>
      <protection locked="0"/>
    </xf>
    <xf numFmtId="0" fontId="9" fillId="0" borderId="6" xfId="3" applyFont="1" applyBorder="1" applyProtection="1">
      <protection locked="0"/>
    </xf>
    <xf numFmtId="0" fontId="9" fillId="0" borderId="31" xfId="3" applyFont="1" applyBorder="1" applyAlignment="1" applyProtection="1">
      <alignment horizontal="center"/>
      <protection locked="0"/>
    </xf>
    <xf numFmtId="0" fontId="8" fillId="0" borderId="32" xfId="3" applyFont="1" applyBorder="1" applyProtection="1">
      <protection locked="0"/>
    </xf>
    <xf numFmtId="0" fontId="8" fillId="0" borderId="33" xfId="3" applyFont="1" applyBorder="1" applyProtection="1">
      <protection locked="0"/>
    </xf>
    <xf numFmtId="0" fontId="8" fillId="0" borderId="23" xfId="3" applyFont="1" applyBorder="1" applyAlignment="1" applyProtection="1">
      <alignment horizontal="center"/>
      <protection locked="0"/>
    </xf>
    <xf numFmtId="164" fontId="4" fillId="0" borderId="11" xfId="1" applyFont="1" applyFill="1" applyBorder="1" applyAlignment="1">
      <alignment horizontal="center"/>
    </xf>
    <xf numFmtId="164" fontId="3" fillId="0" borderId="28" xfId="1" applyFont="1" applyFill="1" applyBorder="1"/>
    <xf numFmtId="164" fontId="3" fillId="0" borderId="34" xfId="1" applyFont="1" applyFill="1" applyBorder="1"/>
    <xf numFmtId="164" fontId="4" fillId="0" borderId="34" xfId="1" applyFont="1" applyFill="1" applyBorder="1"/>
    <xf numFmtId="164" fontId="4" fillId="0" borderId="28" xfId="1" applyFont="1" applyFill="1" applyBorder="1"/>
    <xf numFmtId="164" fontId="10" fillId="0" borderId="23" xfId="3" applyNumberFormat="1" applyFont="1" applyBorder="1" applyAlignment="1" applyProtection="1">
      <alignment horizontal="center"/>
      <protection locked="0"/>
    </xf>
    <xf numFmtId="164" fontId="3" fillId="0" borderId="0" xfId="0" applyNumberFormat="1" applyFont="1" applyFill="1"/>
    <xf numFmtId="0" fontId="8" fillId="0" borderId="11" xfId="3" applyFont="1" applyBorder="1" applyProtection="1">
      <protection locked="0"/>
    </xf>
    <xf numFmtId="0" fontId="9" fillId="0" borderId="30" xfId="3" applyFont="1" applyBorder="1" applyProtection="1">
      <protection locked="0"/>
    </xf>
    <xf numFmtId="164" fontId="4" fillId="0" borderId="35" xfId="1" applyFont="1" applyFill="1" applyBorder="1"/>
    <xf numFmtId="0" fontId="3" fillId="0" borderId="1" xfId="0" applyFont="1" applyFill="1" applyBorder="1"/>
    <xf numFmtId="0" fontId="3" fillId="0" borderId="36" xfId="0" applyFont="1" applyFill="1" applyBorder="1"/>
    <xf numFmtId="0" fontId="3" fillId="0" borderId="36" xfId="0" applyFont="1" applyFill="1" applyBorder="1" applyAlignment="1">
      <alignment horizontal="center"/>
    </xf>
    <xf numFmtId="164" fontId="3" fillId="0" borderId="36" xfId="1" applyFont="1" applyFill="1" applyBorder="1" applyAlignment="1">
      <alignment horizontal="center"/>
    </xf>
    <xf numFmtId="164" fontId="3" fillId="0" borderId="36" xfId="1" applyFont="1" applyFill="1" applyBorder="1"/>
    <xf numFmtId="0" fontId="3" fillId="0" borderId="37" xfId="0" applyFont="1" applyFill="1" applyBorder="1"/>
    <xf numFmtId="43" fontId="9" fillId="0" borderId="0" xfId="3" applyNumberFormat="1" applyFont="1" applyBorder="1" applyProtection="1">
      <protection locked="0"/>
    </xf>
    <xf numFmtId="0" fontId="11" fillId="0" borderId="0" xfId="3" applyFont="1" applyBorder="1" applyAlignment="1" applyProtection="1">
      <alignment horizontal="center"/>
      <protection locked="0"/>
    </xf>
    <xf numFmtId="0" fontId="11" fillId="0" borderId="0" xfId="3" applyFont="1" applyBorder="1" applyAlignment="1" applyProtection="1">
      <protection locked="0"/>
    </xf>
    <xf numFmtId="0" fontId="9" fillId="0" borderId="0" xfId="3" applyFont="1" applyBorder="1" applyAlignment="1" applyProtection="1">
      <alignment horizontal="center"/>
      <protection locked="0"/>
    </xf>
    <xf numFmtId="0" fontId="9" fillId="0" borderId="0" xfId="3" applyFont="1" applyBorder="1" applyAlignment="1" applyProtection="1">
      <protection locked="0"/>
    </xf>
    <xf numFmtId="164" fontId="4" fillId="0" borderId="15" xfId="1" applyFont="1" applyFill="1" applyBorder="1"/>
    <xf numFmtId="0" fontId="9" fillId="0" borderId="0" xfId="3" applyFont="1" applyBorder="1" applyProtection="1">
      <protection locked="0"/>
    </xf>
    <xf numFmtId="10" fontId="9" fillId="0" borderId="0" xfId="3" applyNumberFormat="1" applyFont="1" applyBorder="1" applyAlignment="1" applyProtection="1">
      <alignment horizontal="left"/>
      <protection locked="0"/>
    </xf>
    <xf numFmtId="10" fontId="9" fillId="0" borderId="0" xfId="3" applyNumberFormat="1" applyFont="1" applyBorder="1" applyAlignment="1" applyProtection="1">
      <alignment horizontal="right"/>
      <protection locked="0"/>
    </xf>
    <xf numFmtId="10" fontId="9" fillId="0" borderId="0" xfId="3" applyNumberFormat="1" applyFont="1" applyBorder="1" applyAlignment="1" applyProtection="1">
      <alignment horizontal="center"/>
      <protection locked="0"/>
    </xf>
    <xf numFmtId="43" fontId="9" fillId="0" borderId="0" xfId="3" applyNumberFormat="1" applyFont="1" applyBorder="1" applyAlignment="1" applyProtection="1">
      <alignment horizontal="center"/>
      <protection locked="0"/>
    </xf>
    <xf numFmtId="43" fontId="9" fillId="0" borderId="0" xfId="3" applyNumberFormat="1" applyFont="1" applyBorder="1" applyAlignment="1" applyProtection="1">
      <alignment horizontal="center"/>
      <protection locked="0"/>
    </xf>
    <xf numFmtId="0" fontId="11" fillId="0" borderId="0" xfId="3" applyFont="1" applyBorder="1" applyAlignment="1" applyProtection="1">
      <alignment horizontal="center"/>
      <protection locked="0"/>
    </xf>
    <xf numFmtId="0" fontId="3" fillId="0" borderId="0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 vertical="center" wrapText="1"/>
    </xf>
    <xf numFmtId="0" fontId="4" fillId="6" borderId="6" xfId="0" applyFont="1" applyFill="1" applyBorder="1" applyAlignment="1">
      <alignment horizontal="center" vertical="center" wrapText="1"/>
    </xf>
    <xf numFmtId="0" fontId="4" fillId="6" borderId="26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4" fillId="7" borderId="7" xfId="0" applyFont="1" applyFill="1" applyBorder="1" applyAlignment="1">
      <alignment horizontal="center" vertical="center" wrapText="1"/>
    </xf>
    <xf numFmtId="0" fontId="4" fillId="7" borderId="10" xfId="0" applyFont="1" applyFill="1" applyBorder="1" applyAlignment="1">
      <alignment horizontal="center" vertical="center" wrapText="1"/>
    </xf>
    <xf numFmtId="164" fontId="6" fillId="5" borderId="8" xfId="1" applyFont="1" applyFill="1" applyBorder="1" applyAlignment="1">
      <alignment horizontal="center"/>
    </xf>
    <xf numFmtId="164" fontId="6" fillId="5" borderId="9" xfId="1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9" fontId="5" fillId="2" borderId="2" xfId="0" applyNumberFormat="1" applyFont="1" applyFill="1" applyBorder="1" applyAlignment="1">
      <alignment horizontal="center" vertical="center" wrapText="1"/>
    </xf>
    <xf numFmtId="9" fontId="5" fillId="2" borderId="7" xfId="0" applyNumberFormat="1" applyFont="1" applyFill="1" applyBorder="1" applyAlignment="1">
      <alignment horizontal="center" vertical="center" wrapText="1"/>
    </xf>
    <xf numFmtId="9" fontId="5" fillId="2" borderId="10" xfId="0" applyNumberFormat="1" applyFont="1" applyFill="1" applyBorder="1" applyAlignment="1">
      <alignment horizontal="center" vertical="center" wrapText="1"/>
    </xf>
    <xf numFmtId="164" fontId="5" fillId="3" borderId="2" xfId="1" applyFont="1" applyFill="1" applyBorder="1" applyAlignment="1">
      <alignment horizontal="center" vertical="center" wrapText="1"/>
    </xf>
    <xf numFmtId="164" fontId="5" fillId="3" borderId="7" xfId="1" applyFont="1" applyFill="1" applyBorder="1" applyAlignment="1">
      <alignment horizontal="center" vertical="center" wrapText="1"/>
    </xf>
    <xf numFmtId="164" fontId="5" fillId="3" borderId="10" xfId="1" applyFont="1" applyFill="1" applyBorder="1" applyAlignment="1">
      <alignment horizontal="center" vertical="center" wrapText="1"/>
    </xf>
    <xf numFmtId="49" fontId="4" fillId="4" borderId="3" xfId="1" applyNumberFormat="1" applyFont="1" applyFill="1" applyBorder="1" applyAlignment="1">
      <alignment horizontal="center"/>
    </xf>
    <xf numFmtId="49" fontId="4" fillId="4" borderId="4" xfId="1" applyNumberFormat="1" applyFont="1" applyFill="1" applyBorder="1" applyAlignment="1">
      <alignment horizontal="center"/>
    </xf>
    <xf numFmtId="164" fontId="4" fillId="5" borderId="3" xfId="1" applyFont="1" applyFill="1" applyBorder="1" applyAlignment="1">
      <alignment horizontal="center"/>
    </xf>
    <xf numFmtId="164" fontId="4" fillId="5" borderId="4" xfId="1" applyFont="1" applyFill="1" applyBorder="1" applyAlignment="1">
      <alignment horizontal="center"/>
    </xf>
    <xf numFmtId="164" fontId="4" fillId="5" borderId="5" xfId="1" applyFont="1" applyFill="1" applyBorder="1" applyAlignment="1">
      <alignment horizont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2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1"/>
  <sheetViews>
    <sheetView tabSelected="1" zoomScale="85" zoomScaleNormal="85" workbookViewId="0">
      <selection activeCell="B13" sqref="B13"/>
    </sheetView>
  </sheetViews>
  <sheetFormatPr defaultColWidth="9.1328125" defaultRowHeight="13.5"/>
  <cols>
    <col min="1" max="1" width="6.46484375" style="2" customWidth="1"/>
    <col min="2" max="2" width="35.46484375" style="2" customWidth="1"/>
    <col min="3" max="3" width="20" style="3" customWidth="1"/>
    <col min="4" max="4" width="17.796875" style="4" customWidth="1"/>
    <col min="5" max="5" width="13.796875" style="5" customWidth="1"/>
    <col min="6" max="6" width="12.6640625" style="5" bestFit="1" customWidth="1"/>
    <col min="7" max="8" width="16" style="5" customWidth="1"/>
    <col min="9" max="9" width="13.33203125" style="5" bestFit="1" customWidth="1"/>
    <col min="10" max="10" width="13.1328125" style="5" customWidth="1"/>
    <col min="11" max="11" width="13.33203125" style="5" bestFit="1" customWidth="1"/>
    <col min="12" max="12" width="13.1328125" style="5" customWidth="1"/>
    <col min="13" max="14" width="14" style="2" customWidth="1"/>
    <col min="15" max="15" width="28.46484375" style="2" customWidth="1"/>
    <col min="16" max="16" width="9.1328125" style="2"/>
    <col min="17" max="17" width="19.46484375" style="6" hidden="1" customWidth="1"/>
    <col min="18" max="16384" width="9.1328125" style="2"/>
  </cols>
  <sheetData>
    <row r="1" spans="1:17">
      <c r="A1" s="1"/>
    </row>
    <row r="3" spans="1:17">
      <c r="A3" s="7" t="s">
        <v>1</v>
      </c>
    </row>
    <row r="4" spans="1:17">
      <c r="A4" s="7" t="s">
        <v>27</v>
      </c>
    </row>
    <row r="5" spans="1:17" ht="13.9" thickBot="1"/>
    <row r="6" spans="1:17" s="9" customFormat="1" ht="15" customHeight="1" thickBot="1">
      <c r="A6" s="8"/>
      <c r="B6" s="93" t="s">
        <v>0</v>
      </c>
      <c r="C6" s="95" t="s">
        <v>28</v>
      </c>
      <c r="D6" s="98" t="s">
        <v>2</v>
      </c>
      <c r="E6" s="101" t="s">
        <v>3</v>
      </c>
      <c r="F6" s="102"/>
      <c r="G6" s="102"/>
      <c r="H6" s="102"/>
      <c r="I6" s="103" t="s">
        <v>4</v>
      </c>
      <c r="J6" s="104"/>
      <c r="K6" s="104"/>
      <c r="L6" s="105"/>
      <c r="M6" s="85" t="s">
        <v>5</v>
      </c>
      <c r="N6" s="88" t="s">
        <v>6</v>
      </c>
      <c r="Q6" s="10" t="s">
        <v>7</v>
      </c>
    </row>
    <row r="7" spans="1:17" s="9" customFormat="1" ht="15" customHeight="1">
      <c r="A7" s="11"/>
      <c r="B7" s="94"/>
      <c r="C7" s="96"/>
      <c r="D7" s="99"/>
      <c r="E7" s="12" t="s">
        <v>8</v>
      </c>
      <c r="F7" s="12" t="s">
        <v>8</v>
      </c>
      <c r="G7" s="33" t="s">
        <v>9</v>
      </c>
      <c r="H7" s="33" t="s">
        <v>9</v>
      </c>
      <c r="I7" s="91" t="s">
        <v>10</v>
      </c>
      <c r="J7" s="92"/>
      <c r="K7" s="91" t="s">
        <v>11</v>
      </c>
      <c r="L7" s="92"/>
      <c r="M7" s="86"/>
      <c r="N7" s="89"/>
      <c r="Q7" s="10"/>
    </row>
    <row r="8" spans="1:17" s="9" customFormat="1" ht="14" customHeight="1">
      <c r="A8" s="11"/>
      <c r="B8" s="94"/>
      <c r="C8" s="96"/>
      <c r="D8" s="99"/>
      <c r="E8" s="13" t="s">
        <v>12</v>
      </c>
      <c r="F8" s="13" t="s">
        <v>13</v>
      </c>
      <c r="G8" s="34" t="s">
        <v>14</v>
      </c>
      <c r="H8" s="34" t="s">
        <v>44</v>
      </c>
      <c r="I8" s="14" t="s">
        <v>15</v>
      </c>
      <c r="J8" s="14" t="s">
        <v>16</v>
      </c>
      <c r="K8" s="14" t="s">
        <v>17</v>
      </c>
      <c r="L8" s="14" t="s">
        <v>18</v>
      </c>
      <c r="M8" s="86"/>
      <c r="N8" s="89"/>
      <c r="Q8" s="15"/>
    </row>
    <row r="9" spans="1:17" s="9" customFormat="1" ht="15" customHeight="1">
      <c r="A9" s="11"/>
      <c r="B9" s="94"/>
      <c r="C9" s="97"/>
      <c r="D9" s="100"/>
      <c r="E9" s="13" t="s">
        <v>19</v>
      </c>
      <c r="F9" s="13" t="s">
        <v>20</v>
      </c>
      <c r="G9" s="35" t="s">
        <v>21</v>
      </c>
      <c r="H9" s="35" t="s">
        <v>21</v>
      </c>
      <c r="I9" s="16">
        <v>0.02</v>
      </c>
      <c r="J9" s="16">
        <v>0.01</v>
      </c>
      <c r="K9" s="16">
        <v>0.02</v>
      </c>
      <c r="L9" s="16">
        <v>0.01</v>
      </c>
      <c r="M9" s="87"/>
      <c r="N9" s="90"/>
      <c r="Q9" s="15"/>
    </row>
    <row r="10" spans="1:17">
      <c r="A10" s="36" t="s">
        <v>29</v>
      </c>
      <c r="B10" s="37"/>
      <c r="C10" s="46"/>
      <c r="D10" s="17"/>
      <c r="E10" s="18"/>
      <c r="F10" s="18"/>
      <c r="G10" s="18"/>
      <c r="H10" s="18"/>
      <c r="I10" s="18"/>
      <c r="J10" s="18"/>
      <c r="K10" s="18"/>
      <c r="L10" s="18"/>
      <c r="M10" s="56"/>
      <c r="N10" s="57"/>
      <c r="Q10" s="19" t="s">
        <v>22</v>
      </c>
    </row>
    <row r="11" spans="1:17">
      <c r="A11" s="38">
        <v>1</v>
      </c>
      <c r="B11" s="39" t="s">
        <v>30</v>
      </c>
      <c r="C11" s="51">
        <v>127947</v>
      </c>
      <c r="D11" s="17">
        <v>15250</v>
      </c>
      <c r="E11" s="18">
        <f>D11/1.12*0.05</f>
        <v>680.80357142857144</v>
      </c>
      <c r="F11" s="18"/>
      <c r="G11" s="18"/>
      <c r="H11" s="18"/>
      <c r="I11" s="18"/>
      <c r="J11" s="18">
        <f>D11/1.12*0.01</f>
        <v>136.16071428571428</v>
      </c>
      <c r="K11" s="18"/>
      <c r="L11" s="18">
        <v>0</v>
      </c>
      <c r="M11" s="56">
        <f>SUM(E11:L11)</f>
        <v>816.96428571428578</v>
      </c>
      <c r="N11" s="57">
        <f>D11-M11</f>
        <v>14433.035714285714</v>
      </c>
      <c r="Q11" s="19" t="s">
        <v>22</v>
      </c>
    </row>
    <row r="12" spans="1:17">
      <c r="A12" s="40"/>
      <c r="B12" s="41" t="s">
        <v>31</v>
      </c>
      <c r="C12" s="42"/>
      <c r="D12" s="55">
        <f>SUM(D11:D11)</f>
        <v>15250</v>
      </c>
      <c r="E12" s="55">
        <f>SUM(E11:E11)</f>
        <v>680.80357142857144</v>
      </c>
      <c r="F12" s="55">
        <f>SUM(F11:F11)</f>
        <v>0</v>
      </c>
      <c r="G12" s="55">
        <f>SUM(G11:G11)</f>
        <v>0</v>
      </c>
      <c r="H12" s="55">
        <f>SUM(H11:H11)</f>
        <v>0</v>
      </c>
      <c r="I12" s="55">
        <f>SUM(I11:I11)</f>
        <v>0</v>
      </c>
      <c r="J12" s="55">
        <f>SUM(J11:J11)</f>
        <v>136.16071428571428</v>
      </c>
      <c r="K12" s="55">
        <f>SUM(K11:K11)</f>
        <v>0</v>
      </c>
      <c r="L12" s="55">
        <f>SUM(L11:L11)</f>
        <v>0</v>
      </c>
      <c r="M12" s="56">
        <f t="shared" ref="M12:M15" si="0">SUM(E12:L12)</f>
        <v>816.96428571428578</v>
      </c>
      <c r="N12" s="57">
        <f t="shared" ref="N12:N15" si="1">D12-M12</f>
        <v>14433.035714285714</v>
      </c>
      <c r="Q12" s="19"/>
    </row>
    <row r="13" spans="1:17">
      <c r="A13" s="43"/>
      <c r="B13" s="44"/>
      <c r="C13" s="45"/>
      <c r="D13" s="17"/>
      <c r="E13" s="18"/>
      <c r="F13" s="20"/>
      <c r="G13" s="18"/>
      <c r="H13" s="18"/>
      <c r="I13" s="18"/>
      <c r="J13" s="18"/>
      <c r="K13" s="18"/>
      <c r="L13" s="18"/>
      <c r="M13" s="56">
        <f t="shared" si="0"/>
        <v>0</v>
      </c>
      <c r="N13" s="57">
        <f t="shared" si="1"/>
        <v>0</v>
      </c>
      <c r="Q13" s="19"/>
    </row>
    <row r="14" spans="1:17">
      <c r="A14" s="36" t="s">
        <v>32</v>
      </c>
      <c r="B14" s="37"/>
      <c r="C14" s="46"/>
      <c r="D14" s="17"/>
      <c r="E14" s="18"/>
      <c r="F14" s="20"/>
      <c r="G14" s="18"/>
      <c r="H14" s="18"/>
      <c r="I14" s="18"/>
      <c r="J14" s="18"/>
      <c r="K14" s="18"/>
      <c r="L14" s="18"/>
      <c r="M14" s="56">
        <f t="shared" si="0"/>
        <v>0</v>
      </c>
      <c r="N14" s="57">
        <f t="shared" si="1"/>
        <v>0</v>
      </c>
      <c r="Q14" s="19"/>
    </row>
    <row r="15" spans="1:17">
      <c r="A15" s="47">
        <v>1</v>
      </c>
      <c r="B15" s="48" t="s">
        <v>33</v>
      </c>
      <c r="C15" s="49">
        <v>304104</v>
      </c>
      <c r="D15" s="17">
        <v>15250</v>
      </c>
      <c r="E15" s="18">
        <f>D15/1.12*0.05</f>
        <v>680.80357142857144</v>
      </c>
      <c r="F15" s="18"/>
      <c r="G15" s="18"/>
      <c r="H15" s="18"/>
      <c r="I15" s="18"/>
      <c r="J15" s="18">
        <f>D15/1.12*0.01</f>
        <v>136.16071428571428</v>
      </c>
      <c r="K15" s="18"/>
      <c r="L15" s="18">
        <v>0</v>
      </c>
      <c r="M15" s="56">
        <f t="shared" si="0"/>
        <v>816.96428571428578</v>
      </c>
      <c r="N15" s="57">
        <f t="shared" si="1"/>
        <v>14433.035714285714</v>
      </c>
      <c r="Q15" s="19"/>
    </row>
    <row r="16" spans="1:17">
      <c r="A16" s="40"/>
      <c r="B16" s="41" t="s">
        <v>34</v>
      </c>
      <c r="C16" s="42"/>
      <c r="D16" s="55">
        <f>SUM(D15:D15)</f>
        <v>15250</v>
      </c>
      <c r="E16" s="55">
        <f>SUM(E15:E15)</f>
        <v>680.80357142857144</v>
      </c>
      <c r="F16" s="55">
        <f>SUM(F15:F15)</f>
        <v>0</v>
      </c>
      <c r="G16" s="55">
        <f>SUM(G15:G15)</f>
        <v>0</v>
      </c>
      <c r="H16" s="55">
        <f>SUM(H15:H15)</f>
        <v>0</v>
      </c>
      <c r="I16" s="55">
        <f>SUM(I15:I15)</f>
        <v>0</v>
      </c>
      <c r="J16" s="55">
        <f>SUM(J15:J15)</f>
        <v>136.16071428571428</v>
      </c>
      <c r="K16" s="55">
        <f>SUM(K15:K15)</f>
        <v>0</v>
      </c>
      <c r="L16" s="55">
        <f>SUM(L15:L15)</f>
        <v>0</v>
      </c>
      <c r="M16" s="59">
        <f>SUM(M15:M15)</f>
        <v>816.96428571428578</v>
      </c>
      <c r="N16" s="58">
        <f>SUM(N15:N15)</f>
        <v>14433.035714285714</v>
      </c>
      <c r="Q16" s="19"/>
    </row>
    <row r="17" spans="1:17">
      <c r="A17" s="43"/>
      <c r="B17" s="44"/>
      <c r="C17" s="45"/>
      <c r="D17" s="17"/>
      <c r="E17" s="18"/>
      <c r="F17" s="20"/>
      <c r="G17" s="18"/>
      <c r="H17" s="18"/>
      <c r="I17" s="18"/>
      <c r="J17" s="18"/>
      <c r="K17" s="18"/>
      <c r="L17" s="18"/>
      <c r="M17" s="56"/>
      <c r="N17" s="57"/>
      <c r="Q17" s="19"/>
    </row>
    <row r="18" spans="1:17">
      <c r="A18" s="36" t="s">
        <v>35</v>
      </c>
      <c r="B18" s="37"/>
      <c r="C18" s="46"/>
      <c r="D18" s="17"/>
      <c r="E18" s="18"/>
      <c r="F18" s="20"/>
      <c r="G18" s="18"/>
      <c r="H18" s="18"/>
      <c r="I18" s="18"/>
      <c r="J18" s="18"/>
      <c r="K18" s="18"/>
      <c r="L18" s="18"/>
      <c r="M18" s="56"/>
      <c r="N18" s="57"/>
      <c r="Q18" s="19"/>
    </row>
    <row r="19" spans="1:17">
      <c r="A19" s="38">
        <v>1</v>
      </c>
      <c r="B19" s="48" t="s">
        <v>33</v>
      </c>
      <c r="C19" s="49">
        <v>304104</v>
      </c>
      <c r="D19" s="17">
        <v>15250</v>
      </c>
      <c r="E19" s="18">
        <f>D19/1.12*0.05</f>
        <v>680.80357142857144</v>
      </c>
      <c r="F19" s="18"/>
      <c r="G19" s="18"/>
      <c r="H19" s="18"/>
      <c r="I19" s="18"/>
      <c r="J19" s="18">
        <f>D19/1.12*0.01</f>
        <v>136.16071428571428</v>
      </c>
      <c r="K19" s="18"/>
      <c r="L19" s="18">
        <v>0</v>
      </c>
      <c r="M19" s="56">
        <f t="shared" ref="M19" si="2">SUM(E19:L19)</f>
        <v>816.96428571428578</v>
      </c>
      <c r="N19" s="57">
        <f t="shared" ref="N19" si="3">D19-M19</f>
        <v>14433.035714285714</v>
      </c>
      <c r="Q19" s="19"/>
    </row>
    <row r="20" spans="1:17">
      <c r="A20" s="36"/>
      <c r="B20" s="62" t="s">
        <v>36</v>
      </c>
      <c r="C20" s="46"/>
      <c r="D20" s="55">
        <f>SUM(D19:D19)</f>
        <v>15250</v>
      </c>
      <c r="E20" s="55">
        <f>SUM(E19:E19)</f>
        <v>680.80357142857144</v>
      </c>
      <c r="F20" s="55">
        <f>SUM(F19:F19)</f>
        <v>0</v>
      </c>
      <c r="G20" s="55">
        <f>SUM(G19:G19)</f>
        <v>0</v>
      </c>
      <c r="H20" s="55">
        <f>SUM(H19:H19)</f>
        <v>0</v>
      </c>
      <c r="I20" s="55">
        <f>SUM(I19:I19)</f>
        <v>0</v>
      </c>
      <c r="J20" s="55">
        <f>SUM(J19:J19)</f>
        <v>136.16071428571428</v>
      </c>
      <c r="K20" s="55">
        <f>SUM(K19:K19)</f>
        <v>0</v>
      </c>
      <c r="L20" s="55">
        <f>SUM(L19:L19)</f>
        <v>0</v>
      </c>
      <c r="M20" s="59">
        <f>SUM(M19:M19)</f>
        <v>816.96428571428578</v>
      </c>
      <c r="N20" s="58">
        <f>SUM(N19:N19)</f>
        <v>14433.035714285714</v>
      </c>
      <c r="Q20" s="19"/>
    </row>
    <row r="21" spans="1:17">
      <c r="A21" s="50"/>
      <c r="B21" s="63"/>
      <c r="C21" s="51"/>
      <c r="D21" s="17"/>
      <c r="E21" s="18"/>
      <c r="F21" s="20"/>
      <c r="G21" s="18"/>
      <c r="H21" s="18"/>
      <c r="I21" s="18"/>
      <c r="J21" s="18"/>
      <c r="K21" s="18"/>
      <c r="L21" s="18"/>
      <c r="M21" s="56"/>
      <c r="N21" s="57"/>
      <c r="Q21" s="19"/>
    </row>
    <row r="22" spans="1:17" ht="13.9" thickBot="1">
      <c r="A22" s="52"/>
      <c r="B22" s="53" t="s">
        <v>37</v>
      </c>
      <c r="C22" s="54"/>
      <c r="D22" s="60">
        <f>D12+D16+D20</f>
        <v>45750</v>
      </c>
      <c r="E22" s="60">
        <f>E12+E16+E20</f>
        <v>2042.4107142857142</v>
      </c>
      <c r="F22" s="60">
        <f>F12+F16+F20</f>
        <v>0</v>
      </c>
      <c r="G22" s="60">
        <f>G12+G16+G20</f>
        <v>0</v>
      </c>
      <c r="H22" s="60">
        <f>H12+H16+H20</f>
        <v>0</v>
      </c>
      <c r="I22" s="60">
        <f>I12+I16+I20</f>
        <v>0</v>
      </c>
      <c r="J22" s="60">
        <f>J12+J16+J20</f>
        <v>408.48214285714283</v>
      </c>
      <c r="K22" s="60">
        <f>K12+K16+K20</f>
        <v>0</v>
      </c>
      <c r="L22" s="60">
        <f>L12+L16+L20</f>
        <v>0</v>
      </c>
      <c r="M22" s="64">
        <f>M12+M20+M16</f>
        <v>2450.8928571428573</v>
      </c>
      <c r="N22" s="76">
        <f>N12+N20+N16</f>
        <v>43299.107142857145</v>
      </c>
      <c r="O22" s="61"/>
      <c r="Q22" s="19"/>
    </row>
    <row r="23" spans="1:17" ht="13.9" thickTop="1">
      <c r="A23" s="65"/>
      <c r="B23" s="66"/>
      <c r="C23" s="67"/>
      <c r="D23" s="68"/>
      <c r="E23" s="69"/>
      <c r="F23" s="69"/>
      <c r="G23" s="69"/>
      <c r="H23" s="69"/>
      <c r="I23" s="69"/>
      <c r="J23" s="69"/>
      <c r="K23" s="69"/>
      <c r="L23" s="69"/>
      <c r="M23" s="66"/>
      <c r="N23" s="70"/>
    </row>
    <row r="24" spans="1:17">
      <c r="A24" s="21"/>
      <c r="B24" s="22"/>
      <c r="C24" s="23"/>
      <c r="D24" s="24"/>
      <c r="E24" s="25"/>
      <c r="F24" s="25"/>
      <c r="G24" s="25"/>
      <c r="H24" s="25"/>
      <c r="I24" s="25"/>
      <c r="J24" s="25"/>
      <c r="K24" s="25"/>
      <c r="L24" s="25"/>
      <c r="M24" s="22"/>
      <c r="N24" s="26"/>
    </row>
    <row r="25" spans="1:17">
      <c r="A25" s="21"/>
      <c r="B25" s="77" t="s">
        <v>23</v>
      </c>
      <c r="C25" s="23"/>
      <c r="D25" s="24"/>
      <c r="E25" s="71" t="s">
        <v>24</v>
      </c>
      <c r="F25" s="71"/>
      <c r="G25" s="71"/>
      <c r="H25" s="71"/>
      <c r="I25" s="78"/>
      <c r="J25" s="78" t="s">
        <v>38</v>
      </c>
      <c r="K25" s="79"/>
      <c r="L25" s="71"/>
      <c r="M25" s="22"/>
      <c r="N25" s="26"/>
    </row>
    <row r="26" spans="1:17">
      <c r="A26" s="21"/>
      <c r="B26" s="22"/>
      <c r="C26" s="23"/>
      <c r="D26" s="24"/>
      <c r="E26" s="71"/>
      <c r="F26" s="71"/>
      <c r="G26" s="71"/>
      <c r="H26" s="71"/>
      <c r="I26" s="80"/>
      <c r="J26" s="71"/>
      <c r="K26" s="80"/>
      <c r="L26" s="71"/>
      <c r="M26" s="22"/>
      <c r="N26" s="26"/>
    </row>
    <row r="27" spans="1:17">
      <c r="A27" s="21"/>
      <c r="B27" s="83" t="s">
        <v>43</v>
      </c>
      <c r="C27" s="83"/>
      <c r="D27" s="24"/>
      <c r="E27" s="71"/>
      <c r="F27" s="71"/>
      <c r="G27" s="71"/>
      <c r="H27" s="71"/>
      <c r="I27" s="80"/>
      <c r="J27" s="71"/>
      <c r="K27" s="80"/>
      <c r="L27" s="71"/>
      <c r="M27" s="22"/>
      <c r="N27" s="26"/>
    </row>
    <row r="28" spans="1:17">
      <c r="A28" s="21"/>
      <c r="B28" s="84" t="s">
        <v>25</v>
      </c>
      <c r="C28" s="84"/>
      <c r="D28" s="24"/>
      <c r="E28" s="83" t="s">
        <v>39</v>
      </c>
      <c r="F28" s="83"/>
      <c r="G28" s="83"/>
      <c r="H28" s="83"/>
      <c r="I28" s="73"/>
      <c r="J28" s="73"/>
      <c r="K28" s="72" t="s">
        <v>40</v>
      </c>
      <c r="L28" s="73"/>
      <c r="M28" s="22"/>
      <c r="N28" s="26"/>
    </row>
    <row r="29" spans="1:17">
      <c r="A29" s="21"/>
      <c r="B29" s="22"/>
      <c r="C29" s="23"/>
      <c r="D29" s="24"/>
      <c r="E29" s="82" t="s">
        <v>41</v>
      </c>
      <c r="F29" s="82"/>
      <c r="G29" s="82"/>
      <c r="H29" s="82"/>
      <c r="I29" s="75"/>
      <c r="J29" s="75"/>
      <c r="K29" s="74" t="s">
        <v>42</v>
      </c>
      <c r="L29" s="75"/>
      <c r="M29" s="22"/>
      <c r="N29" s="26"/>
    </row>
    <row r="30" spans="1:17">
      <c r="A30" s="21"/>
      <c r="B30" s="22"/>
      <c r="C30" s="23"/>
      <c r="D30" s="24"/>
      <c r="E30" s="81"/>
      <c r="F30" s="81"/>
      <c r="G30" s="81"/>
      <c r="H30" s="81"/>
      <c r="I30" s="75"/>
      <c r="J30" s="75"/>
      <c r="K30" s="74"/>
      <c r="L30" s="75"/>
      <c r="M30" s="22"/>
      <c r="N30" s="26"/>
    </row>
    <row r="31" spans="1:17" ht="13.9" thickBot="1">
      <c r="A31" s="27"/>
      <c r="B31" s="28" t="s">
        <v>26</v>
      </c>
      <c r="C31" s="29"/>
      <c r="D31" s="30"/>
      <c r="E31" s="31"/>
      <c r="F31" s="31"/>
      <c r="G31" s="31"/>
      <c r="H31" s="31"/>
      <c r="I31" s="31"/>
      <c r="J31" s="31"/>
      <c r="K31" s="31"/>
      <c r="L31" s="31"/>
      <c r="M31" s="28"/>
      <c r="N31" s="32"/>
    </row>
  </sheetData>
  <mergeCells count="13">
    <mergeCell ref="E29:H29"/>
    <mergeCell ref="B27:C27"/>
    <mergeCell ref="B28:C28"/>
    <mergeCell ref="M6:M9"/>
    <mergeCell ref="N6:N9"/>
    <mergeCell ref="I7:J7"/>
    <mergeCell ref="K7:L7"/>
    <mergeCell ref="E28:H28"/>
    <mergeCell ref="B6:B9"/>
    <mergeCell ref="C6:C9"/>
    <mergeCell ref="D6:D9"/>
    <mergeCell ref="E6:H6"/>
    <mergeCell ref="I6:L6"/>
  </mergeCells>
  <conditionalFormatting sqref="B11">
    <cfRule type="duplicateValues" dxfId="1" priority="51"/>
  </conditionalFormatting>
  <conditionalFormatting sqref="B10">
    <cfRule type="duplicateValues" dxfId="0" priority="59"/>
  </conditionalFormatting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 Summary Report</vt:lpstr>
    </vt:vector>
  </TitlesOfParts>
  <Company>Department of Education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Mishelle</dc:creator>
  <cp:lastModifiedBy>USER</cp:lastModifiedBy>
  <dcterms:created xsi:type="dcterms:W3CDTF">2022-02-20T07:50:32Z</dcterms:created>
  <dcterms:modified xsi:type="dcterms:W3CDTF">2022-03-02T13:41:31Z</dcterms:modified>
</cp:coreProperties>
</file>